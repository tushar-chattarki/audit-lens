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  <font>
      <b val="1"/>
      <color rgb="00FFFFFF"/>
    </font>
    <font>
      <b val="1"/>
      <color rgb="00000000"/>
    </font>
    <font>
      <color rgb="000000FF"/>
    </font>
    <font>
      <b val="1"/>
      <i val="1"/>
    </font>
    <font>
      <color rgb="00008000"/>
    </font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6" fillId="0" borderId="0" pivotButton="0" quotePrefix="0" xfId="0"/>
    <xf numFmtId="164" fontId="5" fillId="0" borderId="0" pivotButton="0" quotePrefix="0" xfId="0"/>
    <xf numFmtId="0" fontId="7" fillId="0" borderId="0" pivotButton="0" quotePrefix="0" xfId="0"/>
    <xf numFmtId="164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DEMO Financial Statement Dataset — Horizon Financial Services Ltd. (Fictional NBFC)</t>
        </is>
      </c>
    </row>
    <row r="2" ht="34" customHeight="1">
      <c r="A2" s="2" t="inlineStr">
        <is>
          <t>Purpose</t>
        </is>
      </c>
      <c r="B2" s="3" t="inlineStr">
        <is>
          <t>Second synthetic dataset — a different entity TYPE from the bank dataset, so you can test whether your extraction/validation pipeline generalises across formats, not just across numbers.</t>
        </is>
      </c>
    </row>
    <row r="3" ht="34" customHeight="1">
      <c r="A3" s="2" t="inlineStr">
        <is>
          <t>Format basis</t>
        </is>
      </c>
      <c r="B3" s="3" t="inlineStr">
        <is>
          <t>Modelled on Division III of Schedule III to the Companies Act, 2013 — the statutory format for Non-Banking Financial Companies (NBFCs) that follow Ind AS. Unlike a bank's Form A/B, an NBFC balance sheet is split into Financial Assets/Liabilities and Non-Financial Assets/Liabilities.</t>
        </is>
      </c>
    </row>
    <row r="4" ht="34" customHeight="1">
      <c r="A4" s="2" t="inlineStr">
        <is>
          <t>Currency / Units</t>
        </is>
      </c>
      <c r="B4" s="3" t="inlineStr">
        <is>
          <t>All figures in Rupees Lakhs (Rs. Lakhs) unless stated otherwise.</t>
        </is>
      </c>
    </row>
    <row r="5" ht="34" customHeight="1">
      <c r="A5" s="2" t="inlineStr">
        <is>
          <t>Years</t>
        </is>
      </c>
      <c r="B5" s="3" t="inlineStr">
        <is>
          <t>Current Year = FY 2025-26 (year ended 31 March 2026). Previous Year = FY 2024-25.</t>
        </is>
      </c>
    </row>
    <row r="6" ht="34" customHeight="1">
      <c r="A6" s="2" t="inlineStr">
        <is>
          <t>Tabs</t>
        </is>
      </c>
      <c r="B6" s="3" t="inlineStr">
        <is>
          <t>Balance Sheet | Statement of Profit and Loss | Cash Flow | Notes | (this) README</t>
        </is>
      </c>
    </row>
    <row r="7" ht="34" customHeight="1">
      <c r="A7" s="2" t="inlineStr">
        <is>
          <t>Notable real detail</t>
        </is>
      </c>
      <c r="B7" s="3" t="inlineStr">
        <is>
          <t>Statutory Reserve in Note 21 is built using the real rule under Section 45-IC of the RBI Act, 1934: every NBFC must transfer at least 20% of net profit to a reserve fund every year before declaring dividend. That transfer is a live formula (=20% of the Net Profit computed on the P&amp;L tab), so if you corrupt Net Profit later, this cell will visibly drift too — useful for a consistency-check demo.</t>
        </is>
      </c>
    </row>
    <row r="8" ht="34" customHeight="1">
      <c r="A8" s="2" t="inlineStr">
        <is>
          <t>Color legend</t>
        </is>
      </c>
      <c r="B8" s="3" t="inlineStr">
        <is>
          <t>Blue = hardcoded input. Black = formula (sums/checks). Green = link to another sheet.</t>
        </is>
      </c>
    </row>
    <row r="9" ht="34" customHeight="1">
      <c r="A9" s="2" t="inlineStr">
        <is>
          <t>Status</t>
        </is>
      </c>
      <c r="B9" s="3" t="inlineStr">
        <is>
          <t>DEMO / GENERIC dataset — not an official Cognizant, MCA or RBI template. Hackathon MVP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Horizon Financial Services Ltd. — Statement of Profit and Loss for the year ended 31 March 2026</t>
        </is>
      </c>
    </row>
    <row r="2">
      <c r="A2" s="4" t="inlineStr">
        <is>
          <t>(Rs. in Lakhs)</t>
        </is>
      </c>
    </row>
    <row r="3">
      <c r="A3" s="5" t="inlineStr">
        <is>
          <t>Particulars</t>
        </is>
      </c>
      <c r="B3" s="5" t="inlineStr">
        <is>
          <t>Note</t>
        </is>
      </c>
      <c r="C3" s="6" t="inlineStr">
        <is>
          <t>Current Year (FY26)</t>
        </is>
      </c>
      <c r="D3" s="6" t="inlineStr">
        <is>
          <t>Previous Year (FY25)</t>
        </is>
      </c>
    </row>
    <row r="4">
      <c r="A4" s="7" t="inlineStr">
        <is>
          <t>I. Revenue from Operations</t>
        </is>
      </c>
    </row>
    <row r="5">
      <c r="A5" t="inlineStr">
        <is>
          <t>Interest Income</t>
        </is>
      </c>
      <c r="C5" s="8" t="n">
        <v>22000</v>
      </c>
      <c r="D5" s="8" t="n">
        <v>19500</v>
      </c>
    </row>
    <row r="6">
      <c r="A6" t="inlineStr">
        <is>
          <t>Fee and Commission Income</t>
        </is>
      </c>
      <c r="C6" s="8" t="n">
        <v>1800</v>
      </c>
      <c r="D6" s="8" t="n">
        <v>1600</v>
      </c>
    </row>
    <row r="7">
      <c r="A7" t="inlineStr">
        <is>
          <t>Net Gain on Fair Value Changes</t>
        </is>
      </c>
      <c r="C7" s="8" t="n">
        <v>500</v>
      </c>
      <c r="D7" s="8" t="n">
        <v>400</v>
      </c>
    </row>
    <row r="8">
      <c r="A8" s="7" t="inlineStr">
        <is>
          <t>Total Revenue from Operations (I)</t>
        </is>
      </c>
      <c r="C8" s="9">
        <f>SUM(C5:C7)</f>
        <v/>
      </c>
      <c r="D8" s="9">
        <f>SUM(D5:D7)</f>
        <v/>
      </c>
    </row>
    <row r="9"/>
    <row r="10">
      <c r="A10" s="7" t="inlineStr">
        <is>
          <t>II. Other Income</t>
        </is>
      </c>
    </row>
    <row r="11">
      <c r="A11" t="inlineStr">
        <is>
          <t>Other Income</t>
        </is>
      </c>
      <c r="C11" s="8" t="n">
        <v>300</v>
      </c>
      <c r="D11" s="8" t="n">
        <v>250</v>
      </c>
    </row>
    <row r="12"/>
    <row r="13">
      <c r="A13" s="7" t="inlineStr">
        <is>
          <t>Total Income (I + II)</t>
        </is>
      </c>
      <c r="C13" s="9">
        <f>C8+C11</f>
        <v/>
      </c>
      <c r="D13" s="9">
        <f>D8+D11</f>
        <v/>
      </c>
    </row>
    <row r="14"/>
    <row r="15">
      <c r="A15" s="7" t="inlineStr">
        <is>
          <t>III. Expenses</t>
        </is>
      </c>
    </row>
    <row r="16">
      <c r="A16" t="inlineStr">
        <is>
          <t>Finance Costs</t>
        </is>
      </c>
      <c r="C16" s="8" t="n">
        <v>11200</v>
      </c>
      <c r="D16" s="8" t="n">
        <v>9800</v>
      </c>
    </row>
    <row r="17">
      <c r="A17" t="inlineStr">
        <is>
          <t>Impairment on Financial Instruments</t>
        </is>
      </c>
      <c r="C17" s="8" t="n">
        <v>2400</v>
      </c>
      <c r="D17" s="8" t="n">
        <v>2100</v>
      </c>
    </row>
    <row r="18">
      <c r="A18" t="inlineStr">
        <is>
          <t>Employee Benefits Expenses</t>
        </is>
      </c>
      <c r="C18" s="8" t="n">
        <v>2800</v>
      </c>
      <c r="D18" s="8" t="n">
        <v>2500</v>
      </c>
    </row>
    <row r="19">
      <c r="A19" t="inlineStr">
        <is>
          <t>Depreciation and Amortisation</t>
        </is>
      </c>
      <c r="C19" s="8" t="n">
        <v>600</v>
      </c>
      <c r="D19" s="8" t="n">
        <v>550</v>
      </c>
    </row>
    <row r="20">
      <c r="A20" t="inlineStr">
        <is>
          <t>Other Expenses</t>
        </is>
      </c>
      <c r="C20" s="8" t="n">
        <v>1600</v>
      </c>
      <c r="D20" s="8" t="n">
        <v>1400</v>
      </c>
    </row>
    <row r="21">
      <c r="A21" s="7" t="inlineStr">
        <is>
          <t>Total Expenses (III)</t>
        </is>
      </c>
      <c r="C21" s="9">
        <f>SUM(C16:C20)</f>
        <v/>
      </c>
      <c r="D21" s="9">
        <f>SUM(D16:D20)</f>
        <v/>
      </c>
    </row>
    <row r="22"/>
    <row r="23">
      <c r="A23" s="7" t="inlineStr">
        <is>
          <t>IV. Profit Before Tax (Total Income - Total Expenses)</t>
        </is>
      </c>
      <c r="C23" s="9">
        <f>C13-C21</f>
        <v/>
      </c>
      <c r="D23" s="9">
        <f>D13-D21</f>
        <v/>
      </c>
    </row>
    <row r="24">
      <c r="A24" t="inlineStr">
        <is>
          <t>Tax Expense (Current and Deferred)</t>
        </is>
      </c>
      <c r="C24" s="8" t="n">
        <v>900</v>
      </c>
      <c r="D24" s="8" t="n">
        <v>850</v>
      </c>
    </row>
    <row r="25">
      <c r="A25" s="7" t="inlineStr">
        <is>
          <t>V. Profit for the Year (IV - Tax Expense)</t>
        </is>
      </c>
      <c r="C25" s="9">
        <f>C23-C24</f>
        <v/>
      </c>
      <c r="D25" s="9">
        <f>D23-D24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</cols>
  <sheetData>
    <row r="1">
      <c r="A1" s="1" t="inlineStr">
        <is>
          <t>Horizon Financial Services Ltd. — Notes Forming Part of the Balance Sheet as at 31 March 2026</t>
        </is>
      </c>
    </row>
    <row r="2">
      <c r="A2" s="4" t="inlineStr">
        <is>
          <t>(Rs. in Lakhs)</t>
        </is>
      </c>
    </row>
    <row r="3">
      <c r="A3" s="5" t="inlineStr">
        <is>
          <t>Particulars</t>
        </is>
      </c>
      <c r="B3" s="6" t="inlineStr">
        <is>
          <t>Current Year (FY26)</t>
        </is>
      </c>
      <c r="C3" s="6" t="inlineStr">
        <is>
          <t>Previous Year (FY25)</t>
        </is>
      </c>
    </row>
    <row r="4">
      <c r="A4" s="10" t="inlineStr">
        <is>
          <t>Note 3 - Cash and Cash Equivalents</t>
        </is>
      </c>
    </row>
    <row r="5">
      <c r="A5" t="inlineStr">
        <is>
          <t>Cash on Hand</t>
        </is>
      </c>
      <c r="B5" s="8" t="n">
        <v>200</v>
      </c>
      <c r="C5" s="8" t="n">
        <v>180</v>
      </c>
    </row>
    <row r="6">
      <c r="A6" t="inlineStr">
        <is>
          <t>Balances with Banks</t>
        </is>
      </c>
      <c r="B6" s="8" t="n">
        <v>3000</v>
      </c>
      <c r="C6" s="8" t="n">
        <v>2620</v>
      </c>
    </row>
    <row r="7">
      <c r="A7" s="7" t="inlineStr">
        <is>
          <t>Total (Note 3)</t>
        </is>
      </c>
      <c r="B7" s="9">
        <f>SUM(B5:B6)</f>
        <v/>
      </c>
      <c r="C7" s="9">
        <f>SUM(C5:C6)</f>
        <v/>
      </c>
    </row>
    <row r="8"/>
    <row r="9">
      <c r="A9" s="10" t="inlineStr">
        <is>
          <t>Note 4 - Bank Balances other than Cash and Cash Equivalents</t>
        </is>
      </c>
    </row>
    <row r="10">
      <c r="A10" t="inlineStr">
        <is>
          <t>Fixed Deposits with Banks</t>
        </is>
      </c>
      <c r="B10" s="8" t="n">
        <v>1500</v>
      </c>
      <c r="C10" s="8" t="n">
        <v>1200</v>
      </c>
    </row>
    <row r="11">
      <c r="A11" s="7" t="inlineStr">
        <is>
          <t>Total (Note 4)</t>
        </is>
      </c>
      <c r="B11" s="9">
        <f>SUM(B10:B10)</f>
        <v/>
      </c>
      <c r="C11" s="9">
        <f>SUM(C10:C10)</f>
        <v/>
      </c>
    </row>
    <row r="12"/>
    <row r="13">
      <c r="A13" s="10" t="inlineStr">
        <is>
          <t>Note 5 - Loans</t>
        </is>
      </c>
    </row>
    <row r="14">
      <c r="A14" t="inlineStr">
        <is>
          <t>Term Loans</t>
        </is>
      </c>
      <c r="B14" s="8" t="n">
        <v>98000</v>
      </c>
      <c r="C14" s="8" t="n">
        <v>86000</v>
      </c>
    </row>
    <row r="15">
      <c r="A15" t="inlineStr">
        <is>
          <t>Working Capital Loans</t>
        </is>
      </c>
      <c r="B15" s="8" t="n">
        <v>47000</v>
      </c>
      <c r="C15" s="8" t="n">
        <v>42000</v>
      </c>
    </row>
    <row r="16">
      <c r="A16" s="7" t="inlineStr">
        <is>
          <t>Total (Note 5)</t>
        </is>
      </c>
      <c r="B16" s="9">
        <f>SUM(B14:B15)</f>
        <v/>
      </c>
      <c r="C16" s="9">
        <f>SUM(C14:C15)</f>
        <v/>
      </c>
    </row>
    <row r="17"/>
    <row r="18">
      <c r="A18" s="10" t="inlineStr">
        <is>
          <t>Note 6 - Investments</t>
        </is>
      </c>
    </row>
    <row r="19">
      <c r="A19" t="inlineStr">
        <is>
          <t>Government Securities</t>
        </is>
      </c>
      <c r="B19" s="8" t="n">
        <v>8000</v>
      </c>
      <c r="C19" s="8" t="n">
        <v>7000</v>
      </c>
    </row>
    <row r="20">
      <c r="A20" t="inlineStr">
        <is>
          <t>Mutual Funds</t>
        </is>
      </c>
      <c r="B20" s="8" t="n">
        <v>4500</v>
      </c>
      <c r="C20" s="8" t="n">
        <v>3800</v>
      </c>
    </row>
    <row r="21">
      <c r="A21" s="7" t="inlineStr">
        <is>
          <t>Total (Note 6)</t>
        </is>
      </c>
      <c r="B21" s="9">
        <f>SUM(B19:B20)</f>
        <v/>
      </c>
      <c r="C21" s="9">
        <f>SUM(C19:C20)</f>
        <v/>
      </c>
    </row>
    <row r="22"/>
    <row r="23">
      <c r="A23" s="10" t="inlineStr">
        <is>
          <t>Note 7 - Other Financial Assets</t>
        </is>
      </c>
    </row>
    <row r="24">
      <c r="A24" t="inlineStr">
        <is>
          <t>Security Deposits</t>
        </is>
      </c>
      <c r="B24" s="8" t="n">
        <v>900</v>
      </c>
      <c r="C24" s="8" t="n">
        <v>800</v>
      </c>
    </row>
    <row r="25">
      <c r="A25" t="inlineStr">
        <is>
          <t>Interest Accrued but not Due</t>
        </is>
      </c>
      <c r="B25" s="8" t="n">
        <v>1400</v>
      </c>
      <c r="C25" s="8" t="n">
        <v>1200</v>
      </c>
    </row>
    <row r="26">
      <c r="A26" s="7" t="inlineStr">
        <is>
          <t>Total (Note 7)</t>
        </is>
      </c>
      <c r="B26" s="9">
        <f>SUM(B24:B25)</f>
        <v/>
      </c>
      <c r="C26" s="9">
        <f>SUM(C24:C25)</f>
        <v/>
      </c>
    </row>
    <row r="27"/>
    <row r="28">
      <c r="A28" s="10" t="inlineStr">
        <is>
          <t>Note 8 - Property, Plant and Equipment</t>
        </is>
      </c>
    </row>
    <row r="29">
      <c r="A29" t="inlineStr">
        <is>
          <t>Office Premises</t>
        </is>
      </c>
      <c r="B29" s="8" t="n">
        <v>2600</v>
      </c>
      <c r="C29" s="8" t="n">
        <v>2400</v>
      </c>
    </row>
    <row r="30">
      <c r="A30" t="inlineStr">
        <is>
          <t>Furniture, Fixtures and Vehicles</t>
        </is>
      </c>
      <c r="B30" s="8" t="n">
        <v>1200</v>
      </c>
      <c r="C30" s="8" t="n">
        <v>1100</v>
      </c>
    </row>
    <row r="31">
      <c r="A31" s="7" t="inlineStr">
        <is>
          <t>Total (Note 8)</t>
        </is>
      </c>
      <c r="B31" s="9">
        <f>SUM(B29:B30)</f>
        <v/>
      </c>
      <c r="C31" s="9">
        <f>SUM(C29:C30)</f>
        <v/>
      </c>
    </row>
    <row r="32"/>
    <row r="33">
      <c r="A33" s="10" t="inlineStr">
        <is>
          <t>Note 9 - Intangible Assets</t>
        </is>
      </c>
    </row>
    <row r="34">
      <c r="A34" t="inlineStr">
        <is>
          <t>Computer Software</t>
        </is>
      </c>
      <c r="B34" s="8" t="n">
        <v>600</v>
      </c>
      <c r="C34" s="8" t="n">
        <v>550</v>
      </c>
    </row>
    <row r="35">
      <c r="A35" s="7" t="inlineStr">
        <is>
          <t>Total (Note 9)</t>
        </is>
      </c>
      <c r="B35" s="9">
        <f>SUM(B34:B34)</f>
        <v/>
      </c>
      <c r="C35" s="9">
        <f>SUM(C34:C34)</f>
        <v/>
      </c>
    </row>
    <row r="36"/>
    <row r="37">
      <c r="A37" s="10" t="inlineStr">
        <is>
          <t>Note 10 - Deferred Tax Assets (net)</t>
        </is>
      </c>
    </row>
    <row r="38">
      <c r="A38" t="inlineStr">
        <is>
          <t>Deferred Tax Assets (net)</t>
        </is>
      </c>
      <c r="B38" s="8" t="n">
        <v>900</v>
      </c>
      <c r="C38" s="8" t="n">
        <v>850</v>
      </c>
    </row>
    <row r="39">
      <c r="A39" s="7" t="inlineStr">
        <is>
          <t>Total (Note 10)</t>
        </is>
      </c>
      <c r="B39" s="9">
        <f>SUM(B38:B38)</f>
        <v/>
      </c>
      <c r="C39" s="9">
        <f>SUM(C38:C38)</f>
        <v/>
      </c>
    </row>
    <row r="40"/>
    <row r="41">
      <c r="A41" s="10" t="inlineStr">
        <is>
          <t>Note 11 - Other Non-Financial Assets</t>
        </is>
      </c>
    </row>
    <row r="42">
      <c r="A42" t="inlineStr">
        <is>
          <t>Prepaid Expenses</t>
        </is>
      </c>
      <c r="B42" s="8" t="n">
        <v>500</v>
      </c>
      <c r="C42" s="8" t="n">
        <v>450</v>
      </c>
    </row>
    <row r="43">
      <c r="A43" t="inlineStr">
        <is>
          <t>Advances to Vendors</t>
        </is>
      </c>
      <c r="B43" s="8" t="n">
        <v>700</v>
      </c>
      <c r="C43" s="8" t="n">
        <v>650</v>
      </c>
    </row>
    <row r="44">
      <c r="A44" s="7" t="inlineStr">
        <is>
          <t>Total (Note 11)</t>
        </is>
      </c>
      <c r="B44" s="9">
        <f>SUM(B42:B43)</f>
        <v/>
      </c>
      <c r="C44" s="9">
        <f>SUM(C42:C43)</f>
        <v/>
      </c>
    </row>
    <row r="45"/>
    <row r="46">
      <c r="A46" s="10" t="inlineStr">
        <is>
          <t>Note 12 - Trade Payables</t>
        </is>
      </c>
    </row>
    <row r="47">
      <c r="A47" t="inlineStr">
        <is>
          <t>Trade Payables</t>
        </is>
      </c>
      <c r="B47" s="8" t="n">
        <v>800</v>
      </c>
      <c r="C47" s="8" t="n">
        <v>700</v>
      </c>
    </row>
    <row r="48">
      <c r="A48" s="7" t="inlineStr">
        <is>
          <t>Total (Note 12)</t>
        </is>
      </c>
      <c r="B48" s="9">
        <f>SUM(B47:B47)</f>
        <v/>
      </c>
      <c r="C48" s="9">
        <f>SUM(C47:C47)</f>
        <v/>
      </c>
    </row>
    <row r="49"/>
    <row r="50">
      <c r="A50" s="10" t="inlineStr">
        <is>
          <t>Note 13 - Debt Securities</t>
        </is>
      </c>
    </row>
    <row r="51">
      <c r="A51" t="inlineStr">
        <is>
          <t>Non-Convertible Debentures</t>
        </is>
      </c>
      <c r="B51" s="8" t="n">
        <v>30000</v>
      </c>
      <c r="C51" s="8" t="n">
        <v>26000</v>
      </c>
    </row>
    <row r="52">
      <c r="A52" t="inlineStr">
        <is>
          <t>Commercial Paper</t>
        </is>
      </c>
      <c r="B52" s="8" t="n">
        <v>12000</v>
      </c>
      <c r="C52" s="8" t="n">
        <v>10000</v>
      </c>
    </row>
    <row r="53">
      <c r="A53" s="7" t="inlineStr">
        <is>
          <t>Total (Note 13)</t>
        </is>
      </c>
      <c r="B53" s="9">
        <f>SUM(B51:B52)</f>
        <v/>
      </c>
      <c r="C53" s="9">
        <f>SUM(C51:C52)</f>
        <v/>
      </c>
    </row>
    <row r="54"/>
    <row r="55">
      <c r="A55" s="10" t="inlineStr">
        <is>
          <t>Note 14 - Borrowings (Other than Debt Securities)</t>
        </is>
      </c>
    </row>
    <row r="56">
      <c r="A56" t="inlineStr">
        <is>
          <t>Term Loans from Banks</t>
        </is>
      </c>
      <c r="B56" s="8" t="n">
        <v>50000</v>
      </c>
      <c r="C56" s="8" t="n">
        <v>44000</v>
      </c>
    </row>
    <row r="57">
      <c r="A57" t="inlineStr">
        <is>
          <t>Cash Credit / Working Capital Facilities</t>
        </is>
      </c>
      <c r="B57" s="8" t="n">
        <v>18000</v>
      </c>
      <c r="C57" s="8" t="n">
        <v>16000</v>
      </c>
    </row>
    <row r="58">
      <c r="A58" s="7" t="inlineStr">
        <is>
          <t>Total (Note 14)</t>
        </is>
      </c>
      <c r="B58" s="9">
        <f>SUM(B56:B57)</f>
        <v/>
      </c>
      <c r="C58" s="9">
        <f>SUM(C56:C57)</f>
        <v/>
      </c>
    </row>
    <row r="59"/>
    <row r="60">
      <c r="A60" s="10" t="inlineStr">
        <is>
          <t>Note 15 - Subordinated Liabilities</t>
        </is>
      </c>
    </row>
    <row r="61">
      <c r="A61" t="inlineStr">
        <is>
          <t>Subordinated Liabilities</t>
        </is>
      </c>
      <c r="B61" s="8" t="n">
        <v>5000</v>
      </c>
      <c r="C61" s="8" t="n">
        <v>4500</v>
      </c>
    </row>
    <row r="62">
      <c r="A62" s="7" t="inlineStr">
        <is>
          <t>Total (Note 15)</t>
        </is>
      </c>
      <c r="B62" s="9">
        <f>SUM(B61:B61)</f>
        <v/>
      </c>
      <c r="C62" s="9">
        <f>SUM(C61:C61)</f>
        <v/>
      </c>
    </row>
    <row r="63"/>
    <row r="64">
      <c r="A64" s="10" t="inlineStr">
        <is>
          <t>Note 16 - Other Financial Liabilities</t>
        </is>
      </c>
    </row>
    <row r="65">
      <c r="A65" t="inlineStr">
        <is>
          <t>Interest Accrued on Borrowings</t>
        </is>
      </c>
      <c r="B65" s="8" t="n">
        <v>1600</v>
      </c>
      <c r="C65" s="8" t="n">
        <v>1400</v>
      </c>
    </row>
    <row r="66">
      <c r="A66" t="inlineStr">
        <is>
          <t>Employee Benefits Payable</t>
        </is>
      </c>
      <c r="B66" s="8" t="n">
        <v>800</v>
      </c>
      <c r="C66" s="8" t="n">
        <v>700</v>
      </c>
    </row>
    <row r="67">
      <c r="A67" s="7" t="inlineStr">
        <is>
          <t>Total (Note 16)</t>
        </is>
      </c>
      <c r="B67" s="9">
        <f>SUM(B65:B66)</f>
        <v/>
      </c>
      <c r="C67" s="9">
        <f>SUM(C65:C66)</f>
        <v/>
      </c>
    </row>
    <row r="68"/>
    <row r="69">
      <c r="A69" s="10" t="inlineStr">
        <is>
          <t>Note 17 - Current Tax Liabilities (net)</t>
        </is>
      </c>
    </row>
    <row r="70">
      <c r="A70" t="inlineStr">
        <is>
          <t>Current Tax Liabilities (net)</t>
        </is>
      </c>
      <c r="B70" s="8" t="n">
        <v>650</v>
      </c>
      <c r="C70" s="8" t="n">
        <v>600</v>
      </c>
    </row>
    <row r="71">
      <c r="A71" s="7" t="inlineStr">
        <is>
          <t>Total (Note 17)</t>
        </is>
      </c>
      <c r="B71" s="9">
        <f>SUM(B70:B70)</f>
        <v/>
      </c>
      <c r="C71" s="9">
        <f>SUM(C70:C70)</f>
        <v/>
      </c>
    </row>
    <row r="72"/>
    <row r="73">
      <c r="A73" s="10" t="inlineStr">
        <is>
          <t>Note 18 - Provisions</t>
        </is>
      </c>
    </row>
    <row r="74">
      <c r="A74" t="inlineStr">
        <is>
          <t>Provision for Expected Credit Loss (off-Balance Sheet)</t>
        </is>
      </c>
      <c r="B74" s="8" t="n">
        <v>550</v>
      </c>
      <c r="C74" s="8" t="n">
        <v>480</v>
      </c>
    </row>
    <row r="75">
      <c r="A75" t="inlineStr">
        <is>
          <t>Provision for Employee Benefits</t>
        </is>
      </c>
      <c r="B75" s="8" t="n">
        <v>350</v>
      </c>
      <c r="C75" s="8" t="n">
        <v>320</v>
      </c>
    </row>
    <row r="76">
      <c r="A76" s="7" t="inlineStr">
        <is>
          <t>Total (Note 18)</t>
        </is>
      </c>
      <c r="B76" s="9">
        <f>SUM(B74:B75)</f>
        <v/>
      </c>
      <c r="C76" s="9">
        <f>SUM(C74:C75)</f>
        <v/>
      </c>
    </row>
    <row r="77"/>
    <row r="78">
      <c r="A78" s="10" t="inlineStr">
        <is>
          <t>Note 19 - Other Non-Financial Liabilities</t>
        </is>
      </c>
    </row>
    <row r="79">
      <c r="A79" t="inlineStr">
        <is>
          <t>Statutory Dues Payable</t>
        </is>
      </c>
      <c r="B79" s="8" t="n">
        <v>550</v>
      </c>
      <c r="C79" s="8" t="n">
        <v>500</v>
      </c>
    </row>
    <row r="80">
      <c r="A80" s="7" t="inlineStr">
        <is>
          <t>Total (Note 19)</t>
        </is>
      </c>
      <c r="B80" s="9">
        <f>SUM(B79:B79)</f>
        <v/>
      </c>
      <c r="C80" s="9">
        <f>SUM(C79:C79)</f>
        <v/>
      </c>
    </row>
    <row r="81"/>
    <row r="82">
      <c r="A82" s="10" t="inlineStr">
        <is>
          <t>Note 20 - Equity Share Capital</t>
        </is>
      </c>
    </row>
    <row r="83">
      <c r="A83" t="inlineStr">
        <is>
          <t>Issued and Paid-up Capital (90,00,000 Equity Shares of Rs. 10 each, fully paid)</t>
        </is>
      </c>
      <c r="B83" s="8" t="n">
        <v>9000</v>
      </c>
      <c r="C83" s="8" t="n">
        <v>9000</v>
      </c>
    </row>
    <row r="84">
      <c r="A84" s="7" t="inlineStr">
        <is>
          <t>Total (Note 20)</t>
        </is>
      </c>
      <c r="B84" s="9">
        <f>SUM(B83:B83)</f>
        <v/>
      </c>
      <c r="C84" s="9">
        <f>SUM(C83:C83)</f>
        <v/>
      </c>
    </row>
    <row r="85"/>
    <row r="86">
      <c r="A86" s="10" t="inlineStr">
        <is>
          <t>Note 21 - Other Equity (Statement of Changes in Equity)</t>
        </is>
      </c>
    </row>
    <row r="87">
      <c r="A87" t="inlineStr">
        <is>
          <t>Securities Premium</t>
        </is>
      </c>
      <c r="B87" s="8" t="n">
        <v>15000</v>
      </c>
      <c r="C87" s="8" t="n">
        <v>15000</v>
      </c>
    </row>
    <row r="88">
      <c r="A88" t="inlineStr">
        <is>
          <t>General Reserve</t>
        </is>
      </c>
      <c r="B88" s="8" t="n">
        <v>3600</v>
      </c>
      <c r="C88" s="8" t="n">
        <v>3600</v>
      </c>
    </row>
    <row r="89">
      <c r="A89" t="inlineStr">
        <is>
          <t>Statutory Reserve (u/s 45-IC of the RBI Act, 1934)</t>
        </is>
      </c>
      <c r="B89" s="11">
        <f>C89+0.2*'Profit and Loss'!$C$25</f>
        <v/>
      </c>
      <c r="C89" s="8" t="n">
        <v>10000</v>
      </c>
    </row>
    <row r="90">
      <c r="A90" t="inlineStr">
        <is>
          <t>Retained Earnings</t>
        </is>
      </c>
      <c r="B90" s="11">
        <f>C90+0.8*'Profit and Loss'!$C$25</f>
        <v/>
      </c>
      <c r="C90" s="8" t="n">
        <v>8000</v>
      </c>
    </row>
    <row r="91">
      <c r="A91" s="7" t="inlineStr">
        <is>
          <t>Total (Note 21)</t>
        </is>
      </c>
      <c r="B91" s="9">
        <f>SUM(B87:B90)</f>
        <v/>
      </c>
      <c r="C91" s="9">
        <f>SUM(C87:C90)</f>
        <v/>
      </c>
    </row>
    <row r="92"/>
    <row r="9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20" customWidth="1" min="3" max="3"/>
    <col width="20" customWidth="1" min="4" max="4"/>
  </cols>
  <sheetData>
    <row r="1">
      <c r="A1" s="1" t="inlineStr">
        <is>
          <t>Horizon Financial Services Ltd. — Balance Sheet as at 31 March 2026 (Ind AS, Schedule III Division III)</t>
        </is>
      </c>
    </row>
    <row r="2">
      <c r="A2" s="4" t="inlineStr">
        <is>
          <t>(Rs. in Lakhs)</t>
        </is>
      </c>
    </row>
    <row r="3">
      <c r="A3" s="5" t="inlineStr">
        <is>
          <t>Particulars</t>
        </is>
      </c>
      <c r="B3" s="5" t="inlineStr">
        <is>
          <t>Note</t>
        </is>
      </c>
      <c r="C3" s="6" t="inlineStr">
        <is>
          <t>Current Year (FY26)</t>
        </is>
      </c>
      <c r="D3" s="6" t="inlineStr">
        <is>
          <t>Previous Year (FY25)</t>
        </is>
      </c>
    </row>
    <row r="4">
      <c r="A4" s="7" t="inlineStr">
        <is>
          <t>ASSETS</t>
        </is>
      </c>
    </row>
    <row r="5">
      <c r="A5" s="7" t="inlineStr">
        <is>
          <t>Financial Assets</t>
        </is>
      </c>
    </row>
    <row r="6">
      <c r="A6" t="inlineStr">
        <is>
          <t>Cash and Cash Equivalents</t>
        </is>
      </c>
      <c r="B6" t="n">
        <v>3</v>
      </c>
      <c r="C6" s="11">
        <f>Notes!B7</f>
        <v/>
      </c>
      <c r="D6" s="11">
        <f>Notes!C7</f>
        <v/>
      </c>
    </row>
    <row r="7">
      <c r="A7" t="inlineStr">
        <is>
          <t>Bank Balances other than Cash and Cash Equivalents</t>
        </is>
      </c>
      <c r="B7" t="n">
        <v>4</v>
      </c>
      <c r="C7" s="11">
        <f>Notes!B11</f>
        <v/>
      </c>
      <c r="D7" s="11">
        <f>Notes!C11</f>
        <v/>
      </c>
    </row>
    <row r="8">
      <c r="A8" t="inlineStr">
        <is>
          <t>Loans</t>
        </is>
      </c>
      <c r="B8" t="n">
        <v>5</v>
      </c>
      <c r="C8" s="11">
        <f>Notes!B16</f>
        <v/>
      </c>
      <c r="D8" s="11">
        <f>Notes!C16</f>
        <v/>
      </c>
    </row>
    <row r="9">
      <c r="A9" t="inlineStr">
        <is>
          <t>Investments</t>
        </is>
      </c>
      <c r="B9" t="n">
        <v>6</v>
      </c>
      <c r="C9" s="11">
        <f>Notes!B21</f>
        <v/>
      </c>
      <c r="D9" s="11">
        <f>Notes!C21</f>
        <v/>
      </c>
    </row>
    <row r="10">
      <c r="A10" t="inlineStr">
        <is>
          <t>Other Financial Assets</t>
        </is>
      </c>
      <c r="B10" t="n">
        <v>7</v>
      </c>
      <c r="C10" s="11">
        <f>Notes!B26</f>
        <v/>
      </c>
      <c r="D10" s="11">
        <f>Notes!C26</f>
        <v/>
      </c>
    </row>
    <row r="11">
      <c r="A11" s="7" t="inlineStr">
        <is>
          <t>Total Financial Assets</t>
        </is>
      </c>
      <c r="C11" s="9">
        <f>SUM(C6:C10)</f>
        <v/>
      </c>
      <c r="D11" s="9">
        <f>SUM(D6:D10)</f>
        <v/>
      </c>
    </row>
    <row r="12">
      <c r="A12" s="7" t="inlineStr">
        <is>
          <t>Non-Financial Assets</t>
        </is>
      </c>
    </row>
    <row r="13">
      <c r="A13" t="inlineStr">
        <is>
          <t>Property, Plant and Equipment</t>
        </is>
      </c>
      <c r="B13" t="n">
        <v>8</v>
      </c>
      <c r="C13" s="11">
        <f>Notes!B31</f>
        <v/>
      </c>
      <c r="D13" s="11">
        <f>Notes!C31</f>
        <v/>
      </c>
    </row>
    <row r="14">
      <c r="A14" t="inlineStr">
        <is>
          <t>Intangible Assets</t>
        </is>
      </c>
      <c r="B14" t="n">
        <v>9</v>
      </c>
      <c r="C14" s="11">
        <f>Notes!B35</f>
        <v/>
      </c>
      <c r="D14" s="11">
        <f>Notes!C35</f>
        <v/>
      </c>
    </row>
    <row r="15">
      <c r="A15" t="inlineStr">
        <is>
          <t>Deferred Tax Assets (net)</t>
        </is>
      </c>
      <c r="B15" t="n">
        <v>10</v>
      </c>
      <c r="C15" s="11">
        <f>Notes!B39</f>
        <v/>
      </c>
      <c r="D15" s="11">
        <f>Notes!C39</f>
        <v/>
      </c>
    </row>
    <row r="16">
      <c r="A16" t="inlineStr">
        <is>
          <t>Other Non-Financial Assets</t>
        </is>
      </c>
      <c r="B16" t="n">
        <v>11</v>
      </c>
      <c r="C16" s="11">
        <f>Notes!B44</f>
        <v/>
      </c>
      <c r="D16" s="11">
        <f>Notes!C44</f>
        <v/>
      </c>
    </row>
    <row r="17">
      <c r="A17" s="7" t="inlineStr">
        <is>
          <t>Total Non-Financial Assets</t>
        </is>
      </c>
      <c r="C17" s="9">
        <f>SUM(C13:C16)</f>
        <v/>
      </c>
      <c r="D17" s="9">
        <f>SUM(D13:D16)</f>
        <v/>
      </c>
    </row>
    <row r="18">
      <c r="A18" s="7" t="inlineStr">
        <is>
          <t>TOTAL ASSETS</t>
        </is>
      </c>
      <c r="C18" s="9">
        <f>C11+C17</f>
        <v/>
      </c>
      <c r="D18" s="9">
        <f>D11+D17</f>
        <v/>
      </c>
    </row>
    <row r="19"/>
    <row r="20">
      <c r="A20" s="7" t="inlineStr">
        <is>
          <t>LIABILITIES</t>
        </is>
      </c>
    </row>
    <row r="21">
      <c r="A21" s="7" t="inlineStr">
        <is>
          <t>Financial Liabilities</t>
        </is>
      </c>
    </row>
    <row r="22">
      <c r="A22" t="inlineStr">
        <is>
          <t>Trade Payables</t>
        </is>
      </c>
      <c r="B22" t="n">
        <v>12</v>
      </c>
      <c r="C22" s="11">
        <f>Notes!B48</f>
        <v/>
      </c>
      <c r="D22" s="11">
        <f>Notes!C48</f>
        <v/>
      </c>
    </row>
    <row r="23">
      <c r="A23" t="inlineStr">
        <is>
          <t>Debt Securities</t>
        </is>
      </c>
      <c r="B23" t="n">
        <v>13</v>
      </c>
      <c r="C23" s="11">
        <f>Notes!B53</f>
        <v/>
      </c>
      <c r="D23" s="11">
        <f>Notes!C53</f>
        <v/>
      </c>
    </row>
    <row r="24">
      <c r="A24" t="inlineStr">
        <is>
          <t>Borrowings (Other than Debt Securities)</t>
        </is>
      </c>
      <c r="B24" t="n">
        <v>14</v>
      </c>
      <c r="C24" s="11">
        <f>Notes!B58</f>
        <v/>
      </c>
      <c r="D24" s="11">
        <f>Notes!C58</f>
        <v/>
      </c>
    </row>
    <row r="25">
      <c r="A25" t="inlineStr">
        <is>
          <t>Subordinated Liabilities</t>
        </is>
      </c>
      <c r="B25" t="n">
        <v>15</v>
      </c>
      <c r="C25" s="11">
        <f>Notes!B62</f>
        <v/>
      </c>
      <c r="D25" s="11">
        <f>Notes!C62</f>
        <v/>
      </c>
    </row>
    <row r="26">
      <c r="A26" t="inlineStr">
        <is>
          <t>Other Financial Liabilities</t>
        </is>
      </c>
      <c r="B26" t="n">
        <v>16</v>
      </c>
      <c r="C26" s="11">
        <f>Notes!B67</f>
        <v/>
      </c>
      <c r="D26" s="11">
        <f>Notes!C67</f>
        <v/>
      </c>
    </row>
    <row r="27">
      <c r="A27" s="7" t="inlineStr">
        <is>
          <t>Total Financial Liabilities</t>
        </is>
      </c>
      <c r="C27" s="9">
        <f>SUM(C22:C26)</f>
        <v/>
      </c>
      <c r="D27" s="9">
        <f>SUM(D22:D26)</f>
        <v/>
      </c>
    </row>
    <row r="28">
      <c r="A28" s="7" t="inlineStr">
        <is>
          <t>Non-Financial Liabilities</t>
        </is>
      </c>
    </row>
    <row r="29">
      <c r="A29" t="inlineStr">
        <is>
          <t>Current Tax Liabilities (net)</t>
        </is>
      </c>
      <c r="B29" t="n">
        <v>17</v>
      </c>
      <c r="C29" s="11">
        <f>Notes!B71</f>
        <v/>
      </c>
      <c r="D29" s="11">
        <f>Notes!C71</f>
        <v/>
      </c>
    </row>
    <row r="30">
      <c r="A30" t="inlineStr">
        <is>
          <t>Provisions</t>
        </is>
      </c>
      <c r="B30" t="n">
        <v>18</v>
      </c>
      <c r="C30" s="11">
        <f>Notes!B76</f>
        <v/>
      </c>
      <c r="D30" s="11">
        <f>Notes!C76</f>
        <v/>
      </c>
    </row>
    <row r="31">
      <c r="A31" t="inlineStr">
        <is>
          <t>Other Non-Financial Liabilities</t>
        </is>
      </c>
      <c r="B31" t="n">
        <v>19</v>
      </c>
      <c r="C31" s="11">
        <f>Notes!B80</f>
        <v/>
      </c>
      <c r="D31" s="11">
        <f>Notes!C80</f>
        <v/>
      </c>
    </row>
    <row r="32">
      <c r="A32" s="7" t="inlineStr">
        <is>
          <t>Total Non-Financial Liabilities</t>
        </is>
      </c>
      <c r="C32" s="9">
        <f>SUM(C29:C31)</f>
        <v/>
      </c>
      <c r="D32" s="9">
        <f>SUM(D29:D31)</f>
        <v/>
      </c>
    </row>
    <row r="33">
      <c r="A33" s="7" t="inlineStr">
        <is>
          <t>Total Liabilities</t>
        </is>
      </c>
      <c r="C33" s="9">
        <f>C27+C32</f>
        <v/>
      </c>
      <c r="D33" s="9">
        <f>D27+D32</f>
        <v/>
      </c>
    </row>
    <row r="34"/>
    <row r="35">
      <c r="A35" s="7" t="inlineStr">
        <is>
          <t>EQUITY</t>
        </is>
      </c>
    </row>
    <row r="36">
      <c r="A36" t="inlineStr">
        <is>
          <t>Equity Share Capital</t>
        </is>
      </c>
      <c r="B36" t="n">
        <v>20</v>
      </c>
      <c r="C36" s="11">
        <f>Notes!B84</f>
        <v/>
      </c>
      <c r="D36" s="11">
        <f>Notes!C84</f>
        <v/>
      </c>
    </row>
    <row r="37">
      <c r="A37" t="inlineStr">
        <is>
          <t>Other Equity</t>
        </is>
      </c>
      <c r="B37" t="n">
        <v>21</v>
      </c>
      <c r="C37" s="11">
        <f>Notes!B91</f>
        <v/>
      </c>
      <c r="D37" s="11">
        <f>Notes!C91</f>
        <v/>
      </c>
    </row>
    <row r="38">
      <c r="A38" s="7" t="inlineStr">
        <is>
          <t>Total Equity</t>
        </is>
      </c>
      <c r="C38" s="9">
        <f>SUM(C36:C37)</f>
        <v/>
      </c>
      <c r="D38" s="9">
        <f>SUM(D36:D37)</f>
        <v/>
      </c>
    </row>
    <row r="39">
      <c r="A39" s="7" t="inlineStr">
        <is>
          <t>TOTAL LIABILITIES AND EQUITY</t>
        </is>
      </c>
      <c r="C39" s="9">
        <f>C33+C38</f>
        <v/>
      </c>
      <c r="D39" s="9">
        <f>D33+D38</f>
        <v/>
      </c>
    </row>
    <row r="40"/>
    <row r="41">
      <c r="A41" s="4" t="inlineStr">
        <is>
          <t>Tie-out check: Total Assets minus Total Liabilities and Equity (must be 0)</t>
        </is>
      </c>
      <c r="C41" s="9">
        <f>C18-C39</f>
        <v/>
      </c>
      <c r="D41" s="9">
        <f>D18-D39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1" t="inlineStr">
        <is>
          <t>Horizon Financial Services Ltd. — Cash Flow Statement for the year ended 31 March 2026 (Indirect Method, Ind AS 7)</t>
        </is>
      </c>
    </row>
    <row r="2">
      <c r="A2" s="12" t="inlineStr">
        <is>
          <t>(Rs. in Lakhs) — Current Year only. Previous Year's cash flow would need FY 2023-24 closing balances, which fall outside this 2-year dataset.</t>
        </is>
      </c>
    </row>
    <row r="3">
      <c r="A3" s="5" t="inlineStr">
        <is>
          <t>Particulars</t>
        </is>
      </c>
      <c r="B3" s="6" t="inlineStr">
        <is>
          <t>Current Year (FY26)</t>
        </is>
      </c>
    </row>
    <row r="4">
      <c r="A4" s="7" t="inlineStr">
        <is>
          <t>A. Cash Flow from Operating Activities</t>
        </is>
      </c>
    </row>
    <row r="5">
      <c r="A5" t="inlineStr">
        <is>
          <t>Profit for the Year</t>
        </is>
      </c>
      <c r="B5" s="11">
        <f>'Profit and Loss'!$C$25</f>
        <v/>
      </c>
    </row>
    <row r="6">
      <c r="A6" s="4" t="inlineStr">
        <is>
          <t>Adjustments for changes in operating assets and liabilities:</t>
        </is>
      </c>
    </row>
    <row r="7">
      <c r="A7" t="inlineStr">
        <is>
          <t>(Increase) in Loans</t>
        </is>
      </c>
      <c r="B7" s="11">
        <f>-(Notes!B16-Notes!C16)</f>
        <v/>
      </c>
    </row>
    <row r="8">
      <c r="A8" t="inlineStr">
        <is>
          <t>(Increase) in Investments</t>
        </is>
      </c>
      <c r="B8" s="11">
        <f>-(Notes!B21-Notes!C21)</f>
        <v/>
      </c>
    </row>
    <row r="9">
      <c r="A9" t="inlineStr">
        <is>
          <t>(Increase) in Other Financial Assets</t>
        </is>
      </c>
      <c r="B9" s="11">
        <f>-(Notes!B26-Notes!C26)</f>
        <v/>
      </c>
    </row>
    <row r="10">
      <c r="A10" t="inlineStr">
        <is>
          <t>(Increase) in Bank Balances other than Cash and Cash Equivalents</t>
        </is>
      </c>
      <c r="B10" s="11">
        <f>-(Notes!B11-Notes!C11)</f>
        <v/>
      </c>
    </row>
    <row r="11">
      <c r="A11" t="inlineStr">
        <is>
          <t>(Increase) in Other Non-Financial Assets</t>
        </is>
      </c>
      <c r="B11" s="11">
        <f>-(Notes!B44-Notes!C44)</f>
        <v/>
      </c>
    </row>
    <row r="12">
      <c r="A12" t="inlineStr">
        <is>
          <t>(Increase) in Deferred Tax Assets (net)</t>
        </is>
      </c>
      <c r="B12" s="11">
        <f>-(Notes!B39-Notes!C39)</f>
        <v/>
      </c>
    </row>
    <row r="13">
      <c r="A13" t="inlineStr">
        <is>
          <t>Increase in Trade Payables</t>
        </is>
      </c>
      <c r="B13" s="11">
        <f>Notes!B48-Notes!C48</f>
        <v/>
      </c>
    </row>
    <row r="14">
      <c r="A14" t="inlineStr">
        <is>
          <t>Increase in Other Financial Liabilities</t>
        </is>
      </c>
      <c r="B14" s="11">
        <f>Notes!B67-Notes!C67</f>
        <v/>
      </c>
    </row>
    <row r="15">
      <c r="A15" t="inlineStr">
        <is>
          <t>Increase in Current Tax Liabilities</t>
        </is>
      </c>
      <c r="B15" s="11">
        <f>Notes!B71-Notes!C71</f>
        <v/>
      </c>
    </row>
    <row r="16">
      <c r="A16" t="inlineStr">
        <is>
          <t>Increase in Provisions</t>
        </is>
      </c>
      <c r="B16" s="11">
        <f>Notes!B76-Notes!C76</f>
        <v/>
      </c>
    </row>
    <row r="17">
      <c r="A17" t="inlineStr">
        <is>
          <t>Increase in Other Non-Financial Liabilities</t>
        </is>
      </c>
      <c r="B17" s="11">
        <f>Notes!B80-Notes!C80</f>
        <v/>
      </c>
    </row>
    <row r="18">
      <c r="A18" s="7" t="inlineStr">
        <is>
          <t>Net Cash Generated from / (Used in) Operating Activities</t>
        </is>
      </c>
      <c r="B18" s="9">
        <f>SUM(B5:B17)</f>
        <v/>
      </c>
    </row>
    <row r="19"/>
    <row r="20">
      <c r="A20" s="7" t="inlineStr">
        <is>
          <t>B. Cash Flow from Investing Activities</t>
        </is>
      </c>
    </row>
    <row r="21">
      <c r="A21" t="inlineStr">
        <is>
          <t>(Purchase of Property, Plant and Equipment)</t>
        </is>
      </c>
      <c r="B21" s="11">
        <f>-(Notes!B31-Notes!C31)</f>
        <v/>
      </c>
    </row>
    <row r="22">
      <c r="A22" t="inlineStr">
        <is>
          <t>(Purchase of Intangible Assets)</t>
        </is>
      </c>
      <c r="B22" s="11">
        <f>-(Notes!B35-Notes!C35)</f>
        <v/>
      </c>
    </row>
    <row r="23">
      <c r="A23" s="7" t="inlineStr">
        <is>
          <t>Net Cash Used in Investing Activities</t>
        </is>
      </c>
      <c r="B23" s="9">
        <f>SUM(B21:B22)</f>
        <v/>
      </c>
    </row>
    <row r="24"/>
    <row r="25">
      <c r="A25" s="7" t="inlineStr">
        <is>
          <t>C. Cash Flow from Financing Activities</t>
        </is>
      </c>
    </row>
    <row r="26">
      <c r="A26" t="inlineStr">
        <is>
          <t>Increase in Debt Securities</t>
        </is>
      </c>
      <c r="B26" s="11">
        <f>Notes!B53-Notes!C53</f>
        <v/>
      </c>
    </row>
    <row r="27">
      <c r="A27" t="inlineStr">
        <is>
          <t>Increase in Borrowings (Other than Debt Securities)</t>
        </is>
      </c>
      <c r="B27" s="11">
        <f>Notes!B58-Notes!C58</f>
        <v/>
      </c>
    </row>
    <row r="28">
      <c r="A28" t="inlineStr">
        <is>
          <t>Increase in Subordinated Liabilities</t>
        </is>
      </c>
      <c r="B28" s="11">
        <f>Notes!B62-Notes!C62</f>
        <v/>
      </c>
    </row>
    <row r="29">
      <c r="A29" s="7" t="inlineStr">
        <is>
          <t>Net Cash from Financing Activities</t>
        </is>
      </c>
      <c r="B29" s="9">
        <f>SUM(B26:B28)</f>
        <v/>
      </c>
    </row>
    <row r="30"/>
    <row r="31">
      <c r="A31" s="7" t="inlineStr">
        <is>
          <t>Net Increase / (Decrease) in Cash and Cash Equivalents (A + B + C)</t>
        </is>
      </c>
      <c r="B31" s="9">
        <f>B18+B23+B29</f>
        <v/>
      </c>
    </row>
    <row r="32">
      <c r="A32" t="inlineStr">
        <is>
          <t>Cash and Cash Equivalents at the Beginning of the Year (Note 3, PY)</t>
        </is>
      </c>
      <c r="B32" s="11">
        <f>Notes!C7</f>
        <v/>
      </c>
    </row>
    <row r="33">
      <c r="A33" s="7" t="inlineStr">
        <is>
          <t>Cash and Cash Equivalents at the End of the Year (Note 3, CY)</t>
        </is>
      </c>
      <c r="B33" s="9">
        <f>Notes!B7</f>
        <v/>
      </c>
    </row>
    <row r="34">
      <c r="A34" s="4" t="inlineStr">
        <is>
          <t>Tie-out check: Opening + Net Increase - Closing (must be 0)</t>
        </is>
      </c>
      <c r="B34" s="9">
        <f>B32+B31-B33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2026-08-16T12:40:49Z</dcterms:created>
  <dcterms:modified xmlns:dcterms="http://purl.org/dc/terms/" xmlns:xsi="http://www.w3.org/2001/XMLSchema-instance" xsi:type="dcterms:W3CDTF">2026-08-16T12:40:49Z</dcterms:modified>
</cp:coreProperties>
</file>