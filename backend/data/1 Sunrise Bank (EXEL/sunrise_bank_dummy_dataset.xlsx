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fit and Loss" sheetId="2" state="visible" r:id="rId4"/>
    <sheet name="Schedules" sheetId="3" state="visible" r:id="rId5"/>
    <sheet name="Balance Sheet" sheetId="4" state="visible" r:id="rId6"/>
    <sheet name="Notes (Schedule 18)" sheetId="5" state="visible" r:id="rId7"/>
    <sheet name="Cash Flow"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<sst xmlns="http://schemas.openxmlformats.org/spreadsheetml/2006/main" count="141" uniqueCount="129">
  <si>
    <t xml:space="preserve">DEMO Financial Statement Dataset — Sunrise National Bank Ltd. (Fictional)</t>
  </si>
  <si>
    <t xml:space="preserve">Purpose</t>
  </si>
  <si>
    <t xml:space="preserve">Synthetic, internally-consistent bank financial statements for building/testing a financial statement review tool. NOT a real bank. All figures are invented.</t>
  </si>
  <si>
    <t xml:space="preserve">Format basis</t>
  </si>
  <si>
    <t xml:space="preserve">Modelled on Form A (Balance Sheet) and Form B (Profit &amp; Loss Account) of the Third Schedule to the Banking Regulation Act, 1949 (Section 29) — the real statutory layout Indian banks use. Simplified: only the schedules relevant to this project are included (1-11), not all 18.</t>
  </si>
  <si>
    <t xml:space="preserve">Currency / Units</t>
  </si>
  <si>
    <t xml:space="preserve">All figures in Rupees Lakhs (₹ Lakhs) unless stated otherwise.</t>
  </si>
  <si>
    <t xml:space="preserve">Years</t>
  </si>
  <si>
    <t xml:space="preserve">Current Year = FY 2025-26 (year ended 31 March 2026). Previous Year = FY 2024-25.</t>
  </si>
  <si>
    <t xml:space="preserve">Tabs</t>
  </si>
  <si>
    <t xml:space="preserve">Balance Sheet | Profit and Loss | Schedules | Notes (Schedule 18)</t>
  </si>
  <si>
    <t xml:space="preserve">How it's wired</t>
  </si>
  <si>
    <t xml:space="preserve">Balance Sheet and P&amp;L Reserves line pull their numbers FROM the Schedules tab via formulas (green text = cross-sheet link). This means the file is consistent BY CONSTRUCTION right now. To create a broken test file, you deliberately overwrite one linked/derived cell with a hardcoded wrong number — that's how you'll generate the corrupted variants for your detection engine.</t>
  </si>
  <si>
    <t xml:space="preserve">Color legend</t>
  </si>
  <si>
    <t xml:space="preserve">Blue = hardcoded input. Black = formula (sums/checks). Green = link to another sheet.</t>
  </si>
  <si>
    <t xml:space="preserve">Status</t>
  </si>
  <si>
    <t xml:space="preserve">DEMO / GENERIC dataset — not an official Cognizant or RBI template. Built for hackathon MVP use only.</t>
  </si>
  <si>
    <t xml:space="preserve">Sunrise National Bank Ltd. — Profit and Loss Account for the year ended 31 March 2026 (Form B)</t>
  </si>
  <si>
    <t xml:space="preserve">(₹ in Lakhs)</t>
  </si>
  <si>
    <t xml:space="preserve">Particulars</t>
  </si>
  <si>
    <t xml:space="preserve">Sch.</t>
  </si>
  <si>
    <t xml:space="preserve">Current Year (FY26)</t>
  </si>
  <si>
    <t xml:space="preserve">Previous Year (FY25)</t>
  </si>
  <si>
    <t xml:space="preserve">I. INCOME</t>
  </si>
  <si>
    <t xml:space="preserve">Interest Earned</t>
  </si>
  <si>
    <t xml:space="preserve">Other Income</t>
  </si>
  <si>
    <t xml:space="preserve">Total Income (I)</t>
  </si>
  <si>
    <t xml:space="preserve">II. EXPENDITURE</t>
  </si>
  <si>
    <t xml:space="preserve">Interest Expended</t>
  </si>
  <si>
    <t xml:space="preserve">Operating Expenses</t>
  </si>
  <si>
    <t xml:space="preserve">Provisions and Contingencies</t>
  </si>
  <si>
    <t xml:space="preserve">Total Expenditure (II)</t>
  </si>
  <si>
    <t xml:space="preserve">III. PROFIT / LOSS</t>
  </si>
  <si>
    <t xml:space="preserve">Net Profit for the year (I - II)</t>
  </si>
  <si>
    <t xml:space="preserve">Sunrise National Bank Ltd. — Schedules forming part of the Balance Sheet as at 31 March 2026</t>
  </si>
  <si>
    <t xml:space="preserve">Schedule 1 - Capital</t>
  </si>
  <si>
    <t xml:space="preserve">Issued, Subscribed and Paid-up Capital</t>
  </si>
  <si>
    <t xml:space="preserve">Total (Schedule 1)</t>
  </si>
  <si>
    <t xml:space="preserve">Schedule 2 - Reserves and Surplus</t>
  </si>
  <si>
    <t xml:space="preserve">I. Statutory Reserves</t>
  </si>
  <si>
    <t xml:space="preserve">II. Capital Reserves</t>
  </si>
  <si>
    <t xml:space="preserve">III. Share Premium</t>
  </si>
  <si>
    <t xml:space="preserve">IV. Revenue and Other Reserves</t>
  </si>
  <si>
    <t xml:space="preserve">V. Balance in Profit and Loss Account</t>
  </si>
  <si>
    <t xml:space="preserve">Total (Schedule 2)</t>
  </si>
  <si>
    <t xml:space="preserve">Schedule 3 - Deposits</t>
  </si>
  <si>
    <t xml:space="preserve">Demand Deposits</t>
  </si>
  <si>
    <t xml:space="preserve">Savings Bank Deposits</t>
  </si>
  <si>
    <t xml:space="preserve">Term Deposits</t>
  </si>
  <si>
    <t xml:space="preserve">Total (Schedule 3)</t>
  </si>
  <si>
    <t xml:space="preserve">Schedule 4 - Borrowings</t>
  </si>
  <si>
    <t xml:space="preserve">Borrowings in India</t>
  </si>
  <si>
    <t xml:space="preserve">Borrowings outside India</t>
  </si>
  <si>
    <t xml:space="preserve">Total (Schedule 4)</t>
  </si>
  <si>
    <t xml:space="preserve">Schedule 5 - Other Liabilities and Provisions</t>
  </si>
  <si>
    <t xml:space="preserve">Bills Payable</t>
  </si>
  <si>
    <t xml:space="preserve">Inter-office Adjustments</t>
  </si>
  <si>
    <t xml:space="preserve">Interest Accrued</t>
  </si>
  <si>
    <t xml:space="preserve">Others (including Provisions)</t>
  </si>
  <si>
    <t xml:space="preserve">Total (Schedule 5)</t>
  </si>
  <si>
    <t xml:space="preserve">Schedule 6 - Cash and Balances with Reserve Bank of India</t>
  </si>
  <si>
    <t xml:space="preserve">Cash in Hand</t>
  </si>
  <si>
    <t xml:space="preserve">Balances with Reserve Bank of India</t>
  </si>
  <si>
    <t xml:space="preserve">Total (Schedule 6)</t>
  </si>
  <si>
    <t xml:space="preserve">Schedule 7 - Balances with Banks and Money at Call and Short Notice</t>
  </si>
  <si>
    <t xml:space="preserve">Balances with Banks and Money at Call</t>
  </si>
  <si>
    <t xml:space="preserve">Total (Schedule 7)</t>
  </si>
  <si>
    <t xml:space="preserve">Schedule 8 - Investments</t>
  </si>
  <si>
    <t xml:space="preserve">Government Securities</t>
  </si>
  <si>
    <t xml:space="preserve">Other Investments</t>
  </si>
  <si>
    <t xml:space="preserve">Total (Schedule 8)</t>
  </si>
  <si>
    <t xml:space="preserve">Schedule 9 - Advances</t>
  </si>
  <si>
    <t xml:space="preserve">Cash Credits, Overdrafts and Loans</t>
  </si>
  <si>
    <t xml:space="preserve">Term Loans</t>
  </si>
  <si>
    <t xml:space="preserve">Total (Schedule 9)</t>
  </si>
  <si>
    <t xml:space="preserve">Schedule 10 - Fixed Assets</t>
  </si>
  <si>
    <t xml:space="preserve">Premises and Other Fixed Assets</t>
  </si>
  <si>
    <t xml:space="preserve">Total (Schedule 10)</t>
  </si>
  <si>
    <t xml:space="preserve">Schedule 11 - Other Assets</t>
  </si>
  <si>
    <t xml:space="preserve">Other Assets</t>
  </si>
  <si>
    <t xml:space="preserve">Total (Schedule 11)</t>
  </si>
  <si>
    <t xml:space="preserve">Sunrise National Bank Ltd. — Balance Sheet as at 31 March 2026 (Form A)</t>
  </si>
  <si>
    <t xml:space="preserve">CAPITAL AND LIABILITIES</t>
  </si>
  <si>
    <t xml:space="preserve">Capital</t>
  </si>
  <si>
    <t xml:space="preserve">Reserves and Surplus</t>
  </si>
  <si>
    <t xml:space="preserve">Deposits</t>
  </si>
  <si>
    <t xml:space="preserve">Borrowings</t>
  </si>
  <si>
    <t xml:space="preserve">Other Liabilities and Provisions</t>
  </si>
  <si>
    <t xml:space="preserve">TOTAL LIABILITIES</t>
  </si>
  <si>
    <t xml:space="preserve">ASSETS</t>
  </si>
  <si>
    <t xml:space="preserve">Cash and Balances with Reserve Bank of India</t>
  </si>
  <si>
    <t xml:space="preserve">Balances with Banks and Money at Call and Short Notice</t>
  </si>
  <si>
    <t xml:space="preserve">Investments</t>
  </si>
  <si>
    <t xml:space="preserve">Advances</t>
  </si>
  <si>
    <t xml:space="preserve">Fixed Assets</t>
  </si>
  <si>
    <t xml:space="preserve">TOTAL ASSETS</t>
  </si>
  <si>
    <t xml:space="preserve">Tie-out check: Total Assets minus Total Liabilities (must be 0)</t>
  </si>
  <si>
    <t xml:space="preserve">Sunrise National Bank Ltd. — Notes Forming Part of the Financial Statements (Schedule 18-style)</t>
  </si>
  <si>
    <t xml:space="preserve">1</t>
  </si>
  <si>
    <t xml:space="preserve">Basis of Preparation: The financial statements have been prepared under the historical cost convention and in accordance with the Third Schedule of the Banking Regulation Act, 1949, and applicable RBI guidelines.</t>
  </si>
  <si>
    <t xml:space="preserve">2</t>
  </si>
  <si>
    <t xml:space="preserve">Cash and Balances with Reserve Bank of India: Cash and balances with the Reserve Bank of India as at the end of the year amounted to Rs. 11,000 lakhs (Previous Year: Rs. 10,000 lakhs), as detailed in Schedule 6.</t>
  </si>
  <si>
    <t xml:space="preserve">3</t>
  </si>
  <si>
    <t xml:space="preserve">Advances: Gross Advances stood at Rs. 130,000 lakhs as at 31 March 2026 (Previous Year: Rs. 118,000 lakhs), as detailed in Schedule 9.</t>
  </si>
  <si>
    <t xml:space="preserve">4</t>
  </si>
  <si>
    <t xml:space="preserve">Profit for the Year: Net Profit for the year under review was Rs. 2,150 lakhs, as against Rs. 1,850 lakhs in the previous year, an increase of approximately 16.2 percent, mainly attributable to growth in interest income on advances.</t>
  </si>
  <si>
    <t xml:space="preserve">5</t>
  </si>
  <si>
    <t xml:space="preserve">Deposits: Total Deposits grew to Rs. 155,000 lakhs from Rs. 141,500 lakhs in the previous year, an increase of approximately 9.5 percent, driven primarily by growth in term deposits.</t>
  </si>
  <si>
    <t xml:space="preserve">Sunrise National Bank Ltd. — Cash Flow Statement for the year ended 31 March 2026 (Indirect Method)</t>
  </si>
  <si>
    <t xml:space="preserve">(Rs. in Lakhs) — Current Year only. Previous Year's cash flow would need FY 2023-24 closing balances, which fall outside this 2-year dataset.</t>
  </si>
  <si>
    <t xml:space="preserve">A. Cash Flow from Operating Activities</t>
  </si>
  <si>
    <t xml:space="preserve">Increase in Deposits</t>
  </si>
  <si>
    <t xml:space="preserve">Increase in Other Liabilities and Provisions</t>
  </si>
  <si>
    <t xml:space="preserve">Increase in Reserves and Surplus (net)</t>
  </si>
  <si>
    <t xml:space="preserve">(Increase) in Investments</t>
  </si>
  <si>
    <t xml:space="preserve">(Increase) in Advances</t>
  </si>
  <si>
    <t xml:space="preserve">(Increase) in Other Assets</t>
  </si>
  <si>
    <t xml:space="preserve">Net Cash Generated from / (Used in) Operating Activities</t>
  </si>
  <si>
    <t xml:space="preserve">B. Cash Flow from Investing Activities</t>
  </si>
  <si>
    <t xml:space="preserve">(Purchase of Fixed Assets)</t>
  </si>
  <si>
    <t xml:space="preserve">Net Cash Used in Investing Activities</t>
  </si>
  <si>
    <t xml:space="preserve">C. Cash Flow from Financing Activities</t>
  </si>
  <si>
    <t xml:space="preserve">Increase in Capital</t>
  </si>
  <si>
    <t xml:space="preserve">Increase in Borrowings</t>
  </si>
  <si>
    <t xml:space="preserve">Net Cash from Financing Activities</t>
  </si>
  <si>
    <t xml:space="preserve">Net Increase / (Decrease) in Cash and Cash Equivalents (A + B + C)</t>
  </si>
  <si>
    <t xml:space="preserve">Cash and Cash Equivalents at the Beginning of the Year (Sch. 6 + Sch. 7, PY)</t>
  </si>
  <si>
    <t xml:space="preserve">Cash and Cash Equivalents at the End of the Year (Sch. 6 + Sch. 7, CY)</t>
  </si>
  <si>
    <t xml:space="preserve">Tie-out check: Opening + Net Increase - Closing (must be 0)</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</si>
</sst>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
      <i val="true"/>
      <sz val="11"/>
      <name val="Cambria"/>
      <family val="0"/>
      <charset val="1"/>
    </font>
    <font>
      <b val="true"/>
      <sz val="11"/>
      <color rgb="FFFFFFFF"/>
      <name val="Cambria"/>
      <family val="0"/>
      <charset val="1"/>
    </font>
    <font>
      <b val="true"/>
      <sz val="11"/>
      <color rgb="FF000000"/>
      <name val="Cambria"/>
      <family val="0"/>
      <charset val="1"/>
    </font>
    <font>
      <sz val="11"/>
      <color rgb="FF0000FF"/>
      <name val="Cambria"/>
      <family val="0"/>
      <charset val="1"/>
    </font>
    <font>
      <b val="true"/>
      <i val="true"/>
      <sz val="11"/>
      <name val="Cambria"/>
      <family val="0"/>
      <charset val="1"/>
    </font>
    <font>
      <sz val="11"/>
      <color rgb="FF008000"/>
      <name val="Cambria"/>
      <family val="0"/>
      <charset val="1"/>
    </font>
    <font>
      <i val="true"/>
      <sz val="8"/>
      <name val="Cambria"/>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0"/>
  </cols>
  <sheetData>
    <row r="1" customFormat="false" ht="16.15" hidden="false" customHeight="false" outlineLevel="0" collapsed="false">
      <c r="A1" s="1" t="s">
        <v>0</v>
      </c>
    </row>
    <row r="2" customFormat="false" ht="31.5" hidden="false" customHeight="true" outlineLevel="0" collapsed="false">
      <c r="A2" s="2" t="s">
        <v>1</v>
      </c>
      <c r="B2" s="3" t="s">
        <v>2</v>
      </c>
    </row>
    <row r="3" customFormat="false" ht="31.5" hidden="false" customHeight="true" outlineLevel="0" collapsed="false">
      <c r="A3" s="2" t="s">
        <v>3</v>
      </c>
      <c r="B3" s="3" t="s">
        <v>4</v>
      </c>
    </row>
    <row r="4" customFormat="false" ht="31.5" hidden="false" customHeight="true" outlineLevel="0" collapsed="false">
      <c r="A4" s="2" t="s">
        <v>5</v>
      </c>
      <c r="B4" s="3" t="s">
        <v>6</v>
      </c>
    </row>
    <row r="5" customFormat="false" ht="31.5" hidden="false" customHeight="true" outlineLevel="0" collapsed="false">
      <c r="A5" s="2" t="s">
        <v>7</v>
      </c>
      <c r="B5" s="3" t="s">
        <v>8</v>
      </c>
    </row>
    <row r="6" customFormat="false" ht="31.5" hidden="false" customHeight="true" outlineLevel="0" collapsed="false">
      <c r="A6" s="2" t="s">
        <v>9</v>
      </c>
      <c r="B6" s="3" t="s">
        <v>10</v>
      </c>
    </row>
    <row r="7" customFormat="false" ht="31.5" hidden="false" customHeight="true" outlineLevel="0" collapsed="false">
      <c r="A7" s="2" t="s">
        <v>11</v>
      </c>
      <c r="B7" s="3" t="s">
        <v>12</v>
      </c>
    </row>
    <row r="8" customFormat="false" ht="31.5" hidden="false" customHeight="true" outlineLevel="0" collapsed="false">
      <c r="A8" s="2" t="s">
        <v>13</v>
      </c>
      <c r="B8" s="3" t="s">
        <v>14</v>
      </c>
    </row>
    <row r="9" customFormat="false" ht="31.5" hidden="false" customHeight="true" outlineLevel="0" collapsed="false">
      <c r="A9" s="2" t="s">
        <v>15</v>
      </c>
      <c r="B9"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4" min="3" style="0" width="20"/>
  </cols>
  <sheetData>
    <row r="1" customFormat="false" ht="16.15" hidden="false" customHeight="false" outlineLevel="0" collapsed="false">
      <c r="A1" s="1" t="s">
        <v>17</v>
      </c>
    </row>
    <row r="2" customFormat="false" ht="15" hidden="false" customHeight="false" outlineLevel="0" collapsed="false">
      <c r="A2" s="4" t="s">
        <v>18</v>
      </c>
    </row>
    <row r="3" customFormat="false" ht="15" hidden="false" customHeight="false" outlineLevel="0" collapsed="false">
      <c r="A3" s="5" t="s">
        <v>19</v>
      </c>
      <c r="B3" s="5" t="s">
        <v>20</v>
      </c>
      <c r="C3" s="6" t="s">
        <v>21</v>
      </c>
      <c r="D3" s="6" t="s">
        <v>22</v>
      </c>
    </row>
    <row r="4" customFormat="false" ht="15" hidden="false" customHeight="false" outlineLevel="0" collapsed="false">
      <c r="A4" s="7" t="s">
        <v>23</v>
      </c>
      <c r="C4" s="8"/>
      <c r="D4" s="8"/>
    </row>
    <row r="5" customFormat="false" ht="15" hidden="false" customHeight="false" outlineLevel="0" collapsed="false">
      <c r="A5" s="0" t="s">
        <v>24</v>
      </c>
      <c r="C5" s="9" t="n">
        <v>21500</v>
      </c>
      <c r="D5" s="9" t="n">
        <v>19200</v>
      </c>
    </row>
    <row r="6" customFormat="false" ht="15" hidden="false" customHeight="false" outlineLevel="0" collapsed="false">
      <c r="A6" s="0" t="s">
        <v>25</v>
      </c>
      <c r="C6" s="9" t="n">
        <v>2300</v>
      </c>
      <c r="D6" s="9" t="n">
        <v>2050</v>
      </c>
    </row>
    <row r="7" customFormat="false" ht="15" hidden="false" customHeight="false" outlineLevel="0" collapsed="false">
      <c r="A7" s="7" t="s">
        <v>26</v>
      </c>
      <c r="C7" s="10" t="n">
        <f aca="false">SUM(C5:C6)</f>
        <v>23800</v>
      </c>
      <c r="D7" s="10" t="n">
        <f aca="false">SUM(D5:D6)</f>
        <v>21250</v>
      </c>
    </row>
    <row r="8" customFormat="false" ht="15" hidden="false" customHeight="false" outlineLevel="0" collapsed="false">
      <c r="C8" s="8"/>
      <c r="D8" s="8"/>
    </row>
    <row r="9" customFormat="false" ht="15" hidden="false" customHeight="false" outlineLevel="0" collapsed="false">
      <c r="A9" s="7" t="s">
        <v>27</v>
      </c>
      <c r="C9" s="8"/>
      <c r="D9" s="8"/>
    </row>
    <row r="10" customFormat="false" ht="15" hidden="false" customHeight="false" outlineLevel="0" collapsed="false">
      <c r="A10" s="0" t="s">
        <v>28</v>
      </c>
      <c r="C10" s="9" t="n">
        <v>12800</v>
      </c>
      <c r="D10" s="9" t="n">
        <v>11500</v>
      </c>
    </row>
    <row r="11" customFormat="false" ht="15" hidden="false" customHeight="false" outlineLevel="0" collapsed="false">
      <c r="A11" s="0" t="s">
        <v>29</v>
      </c>
      <c r="C11" s="9" t="n">
        <v>6200</v>
      </c>
      <c r="D11" s="9" t="n">
        <v>5600</v>
      </c>
    </row>
    <row r="12" customFormat="false" ht="15" hidden="false" customHeight="false" outlineLevel="0" collapsed="false">
      <c r="A12" s="0" t="s">
        <v>30</v>
      </c>
      <c r="C12" s="9" t="n">
        <v>2650</v>
      </c>
      <c r="D12" s="9" t="n">
        <v>2300</v>
      </c>
    </row>
    <row r="13" customFormat="false" ht="15" hidden="false" customHeight="false" outlineLevel="0" collapsed="false">
      <c r="A13" s="7" t="s">
        <v>31</v>
      </c>
      <c r="C13" s="10" t="n">
        <f aca="false">SUM(C10:C12)</f>
        <v>21650</v>
      </c>
      <c r="D13" s="10" t="n">
        <f aca="false">SUM(D10:D12)</f>
        <v>19400</v>
      </c>
    </row>
    <row r="14" customFormat="false" ht="15" hidden="false" customHeight="false" outlineLevel="0" collapsed="false">
      <c r="C14" s="8"/>
      <c r="D14" s="8"/>
    </row>
    <row r="15" customFormat="false" ht="15" hidden="false" customHeight="false" outlineLevel="0" collapsed="false">
      <c r="A15" s="7" t="s">
        <v>32</v>
      </c>
      <c r="C15" s="8"/>
      <c r="D15" s="8"/>
    </row>
    <row r="16" customFormat="false" ht="15" hidden="false" customHeight="false" outlineLevel="0" collapsed="false">
      <c r="A16" s="7" t="s">
        <v>33</v>
      </c>
      <c r="C16" s="10" t="n">
        <f aca="false">C7-C13</f>
        <v>2150</v>
      </c>
      <c r="D16" s="10" t="n">
        <f aca="false">D7-D13</f>
        <v>1850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0"/>
  </cols>
  <sheetData>
    <row r="1" customFormat="false" ht="16.15" hidden="false" customHeight="false" outlineLevel="0" collapsed="false">
      <c r="A1" s="1" t="s">
        <v>34</v>
      </c>
    </row>
    <row r="2" customFormat="false" ht="15" hidden="false" customHeight="false" outlineLevel="0" collapsed="false">
      <c r="A2" s="4" t="s">
        <v>18</v>
      </c>
    </row>
    <row r="3" customFormat="false" ht="15" hidden="false" customHeight="false" outlineLevel="0" collapsed="false">
      <c r="A3" s="5" t="s">
        <v>19</v>
      </c>
      <c r="B3" s="6" t="s">
        <v>21</v>
      </c>
      <c r="C3" s="6" t="s">
        <v>22</v>
      </c>
    </row>
    <row r="4" customFormat="false" ht="15" hidden="false" customHeight="false" outlineLevel="0" collapsed="false">
      <c r="A4" s="11" t="s">
        <v>35</v>
      </c>
    </row>
    <row r="5" customFormat="false" ht="15" hidden="false" customHeight="false" outlineLevel="0" collapsed="false">
      <c r="A5" s="0" t="s">
        <v>36</v>
      </c>
      <c r="B5" s="8" t="n">
        <v>12000</v>
      </c>
      <c r="C5" s="8" t="n">
        <v>12000</v>
      </c>
    </row>
    <row r="6" customFormat="false" ht="15" hidden="false" customHeight="false" outlineLevel="0" collapsed="false">
      <c r="A6" s="7" t="s">
        <v>37</v>
      </c>
      <c r="B6" s="10" t="n">
        <f aca="false">SUM(B5:B5)</f>
        <v>12000</v>
      </c>
      <c r="C6" s="10" t="n">
        <f aca="false">SUM(C5:C5)</f>
        <v>12000</v>
      </c>
    </row>
    <row r="8" customFormat="false" ht="15" hidden="false" customHeight="false" outlineLevel="0" collapsed="false">
      <c r="A8" s="11" t="s">
        <v>38</v>
      </c>
    </row>
    <row r="9" customFormat="false" ht="15" hidden="false" customHeight="false" outlineLevel="0" collapsed="false">
      <c r="A9" s="0" t="s">
        <v>39</v>
      </c>
      <c r="B9" s="8" t="n">
        <v>8500</v>
      </c>
      <c r="C9" s="8" t="n">
        <v>7200</v>
      </c>
    </row>
    <row r="10" customFormat="false" ht="15" hidden="false" customHeight="false" outlineLevel="0" collapsed="false">
      <c r="A10" s="0" t="s">
        <v>40</v>
      </c>
      <c r="B10" s="8" t="n">
        <v>1200</v>
      </c>
      <c r="C10" s="8" t="n">
        <v>1200</v>
      </c>
    </row>
    <row r="11" customFormat="false" ht="15" hidden="false" customHeight="false" outlineLevel="0" collapsed="false">
      <c r="A11" s="0" t="s">
        <v>41</v>
      </c>
      <c r="B11" s="8" t="n">
        <v>3000</v>
      </c>
      <c r="C11" s="8" t="n">
        <v>3000</v>
      </c>
    </row>
    <row r="12" customFormat="false" ht="15" hidden="false" customHeight="false" outlineLevel="0" collapsed="false">
      <c r="A12" s="0" t="s">
        <v>42</v>
      </c>
      <c r="B12" s="8" t="n">
        <v>4300</v>
      </c>
      <c r="C12" s="8" t="n">
        <v>3800</v>
      </c>
    </row>
    <row r="13" customFormat="false" ht="15" hidden="false" customHeight="false" outlineLevel="0" collapsed="false">
      <c r="A13" s="0" t="s">
        <v>43</v>
      </c>
      <c r="B13" s="12" t="n">
        <f aca="false">'Profit and Loss'!$C$16</f>
        <v>2150</v>
      </c>
      <c r="C13" s="12" t="n">
        <f aca="false">'Profit and Loss'!$D$16</f>
        <v>1850</v>
      </c>
    </row>
    <row r="14" customFormat="false" ht="15" hidden="false" customHeight="false" outlineLevel="0" collapsed="false">
      <c r="A14" s="7" t="s">
        <v>44</v>
      </c>
      <c r="B14" s="10" t="n">
        <f aca="false">SUM(B9:B13)</f>
        <v>19150</v>
      </c>
      <c r="C14" s="10" t="n">
        <f aca="false">SUM(C9:C13)</f>
        <v>17050</v>
      </c>
    </row>
    <row r="16" customFormat="false" ht="15" hidden="false" customHeight="false" outlineLevel="0" collapsed="false">
      <c r="A16" s="11" t="s">
        <v>45</v>
      </c>
    </row>
    <row r="17" customFormat="false" ht="15" hidden="false" customHeight="false" outlineLevel="0" collapsed="false">
      <c r="A17" s="0" t="s">
        <v>46</v>
      </c>
      <c r="B17" s="8" t="n">
        <v>15000</v>
      </c>
      <c r="C17" s="8" t="n">
        <v>13500</v>
      </c>
    </row>
    <row r="18" customFormat="false" ht="15" hidden="false" customHeight="false" outlineLevel="0" collapsed="false">
      <c r="A18" s="0" t="s">
        <v>47</v>
      </c>
      <c r="B18" s="8" t="n">
        <v>42000</v>
      </c>
      <c r="C18" s="8" t="n">
        <v>38000</v>
      </c>
    </row>
    <row r="19" customFormat="false" ht="15" hidden="false" customHeight="false" outlineLevel="0" collapsed="false">
      <c r="A19" s="0" t="s">
        <v>48</v>
      </c>
      <c r="B19" s="8" t="n">
        <v>98000</v>
      </c>
      <c r="C19" s="8" t="n">
        <v>90000</v>
      </c>
    </row>
    <row r="20" customFormat="false" ht="15" hidden="false" customHeight="false" outlineLevel="0" collapsed="false">
      <c r="A20" s="7" t="s">
        <v>49</v>
      </c>
      <c r="B20" s="10" t="n">
        <f aca="false">SUM(B17:B19)</f>
        <v>155000</v>
      </c>
      <c r="C20" s="10" t="n">
        <f aca="false">SUM(C17:C19)</f>
        <v>141500</v>
      </c>
    </row>
    <row r="22" customFormat="false" ht="15" hidden="false" customHeight="false" outlineLevel="0" collapsed="false">
      <c r="A22" s="11" t="s">
        <v>50</v>
      </c>
    </row>
    <row r="23" customFormat="false" ht="15" hidden="false" customHeight="false" outlineLevel="0" collapsed="false">
      <c r="A23" s="0" t="s">
        <v>51</v>
      </c>
      <c r="B23" s="8" t="n">
        <v>18000</v>
      </c>
      <c r="C23" s="8" t="n">
        <v>16000</v>
      </c>
    </row>
    <row r="24" customFormat="false" ht="15" hidden="false" customHeight="false" outlineLevel="0" collapsed="false">
      <c r="A24" s="0" t="s">
        <v>52</v>
      </c>
      <c r="B24" s="8" t="n">
        <v>4000</v>
      </c>
      <c r="C24" s="8" t="n">
        <v>3500</v>
      </c>
    </row>
    <row r="25" customFormat="false" ht="15" hidden="false" customHeight="false" outlineLevel="0" collapsed="false">
      <c r="A25" s="7" t="s">
        <v>53</v>
      </c>
      <c r="B25" s="10" t="n">
        <f aca="false">SUM(B23:B24)</f>
        <v>22000</v>
      </c>
      <c r="C25" s="10" t="n">
        <f aca="false">SUM(C23:C24)</f>
        <v>19500</v>
      </c>
    </row>
    <row r="27" customFormat="false" ht="15" hidden="false" customHeight="false" outlineLevel="0" collapsed="false">
      <c r="A27" s="11" t="s">
        <v>54</v>
      </c>
    </row>
    <row r="28" customFormat="false" ht="15" hidden="false" customHeight="false" outlineLevel="0" collapsed="false">
      <c r="A28" s="0" t="s">
        <v>55</v>
      </c>
      <c r="B28" s="8" t="n">
        <v>2100</v>
      </c>
      <c r="C28" s="8" t="n">
        <v>1900</v>
      </c>
    </row>
    <row r="29" customFormat="false" ht="15" hidden="false" customHeight="false" outlineLevel="0" collapsed="false">
      <c r="A29" s="0" t="s">
        <v>56</v>
      </c>
      <c r="B29" s="8" t="n">
        <v>500</v>
      </c>
      <c r="C29" s="8" t="n">
        <v>450</v>
      </c>
    </row>
    <row r="30" customFormat="false" ht="15" hidden="false" customHeight="false" outlineLevel="0" collapsed="false">
      <c r="A30" s="0" t="s">
        <v>57</v>
      </c>
      <c r="B30" s="8" t="n">
        <v>800</v>
      </c>
      <c r="C30" s="8" t="n">
        <v>700</v>
      </c>
    </row>
    <row r="31" customFormat="false" ht="15" hidden="false" customHeight="false" outlineLevel="0" collapsed="false">
      <c r="A31" s="0" t="s">
        <v>58</v>
      </c>
      <c r="B31" s="8" t="n">
        <v>3600</v>
      </c>
      <c r="C31" s="8" t="n">
        <v>3200</v>
      </c>
    </row>
    <row r="32" customFormat="false" ht="15" hidden="false" customHeight="false" outlineLevel="0" collapsed="false">
      <c r="A32" s="7" t="s">
        <v>59</v>
      </c>
      <c r="B32" s="10" t="n">
        <f aca="false">SUM(B28:B31)</f>
        <v>7000</v>
      </c>
      <c r="C32" s="10" t="n">
        <f aca="false">SUM(C28:C31)</f>
        <v>6250</v>
      </c>
    </row>
    <row r="34" customFormat="false" ht="15" hidden="false" customHeight="false" outlineLevel="0" collapsed="false">
      <c r="A34" s="11" t="s">
        <v>60</v>
      </c>
    </row>
    <row r="35" customFormat="false" ht="15" hidden="false" customHeight="false" outlineLevel="0" collapsed="false">
      <c r="A35" s="0" t="s">
        <v>61</v>
      </c>
      <c r="B35" s="8" t="n">
        <v>1200</v>
      </c>
      <c r="C35" s="8" t="n">
        <v>1050</v>
      </c>
    </row>
    <row r="36" customFormat="false" ht="15" hidden="false" customHeight="false" outlineLevel="0" collapsed="false">
      <c r="A36" s="0" t="s">
        <v>62</v>
      </c>
      <c r="B36" s="8" t="n">
        <v>9800</v>
      </c>
      <c r="C36" s="8" t="n">
        <v>8950</v>
      </c>
    </row>
    <row r="37" customFormat="false" ht="15" hidden="false" customHeight="false" outlineLevel="0" collapsed="false">
      <c r="A37" s="7" t="s">
        <v>63</v>
      </c>
      <c r="B37" s="10" t="n">
        <f aca="false">SUM(B35:B36)</f>
        <v>11000</v>
      </c>
      <c r="C37" s="10" t="n">
        <f aca="false">SUM(C35:C36)</f>
        <v>10000</v>
      </c>
    </row>
    <row r="39" customFormat="false" ht="15" hidden="false" customHeight="false" outlineLevel="0" collapsed="false">
      <c r="A39" s="11" t="s">
        <v>64</v>
      </c>
    </row>
    <row r="40" customFormat="false" ht="15" hidden="false" customHeight="false" outlineLevel="0" collapsed="false">
      <c r="A40" s="0" t="s">
        <v>65</v>
      </c>
      <c r="B40" s="8" t="n">
        <v>6500</v>
      </c>
      <c r="C40" s="8" t="n">
        <v>5800</v>
      </c>
    </row>
    <row r="41" customFormat="false" ht="15" hidden="false" customHeight="false" outlineLevel="0" collapsed="false">
      <c r="A41" s="7" t="s">
        <v>66</v>
      </c>
      <c r="B41" s="10" t="n">
        <f aca="false">SUM(B40:B40)</f>
        <v>6500</v>
      </c>
      <c r="C41" s="10" t="n">
        <f aca="false">SUM(C40:C40)</f>
        <v>5800</v>
      </c>
    </row>
    <row r="43" customFormat="false" ht="15" hidden="false" customHeight="false" outlineLevel="0" collapsed="false">
      <c r="A43" s="11" t="s">
        <v>67</v>
      </c>
    </row>
    <row r="44" customFormat="false" ht="15" hidden="false" customHeight="false" outlineLevel="0" collapsed="false">
      <c r="A44" s="0" t="s">
        <v>68</v>
      </c>
      <c r="B44" s="8" t="n">
        <v>48000</v>
      </c>
      <c r="C44" s="8" t="n">
        <v>44000</v>
      </c>
    </row>
    <row r="45" customFormat="false" ht="15" hidden="false" customHeight="false" outlineLevel="0" collapsed="false">
      <c r="A45" s="0" t="s">
        <v>69</v>
      </c>
      <c r="B45" s="8" t="n">
        <v>9000</v>
      </c>
      <c r="C45" s="8" t="n">
        <v>8200</v>
      </c>
    </row>
    <row r="46" customFormat="false" ht="15" hidden="false" customHeight="false" outlineLevel="0" collapsed="false">
      <c r="A46" s="7" t="s">
        <v>70</v>
      </c>
      <c r="B46" s="10" t="n">
        <f aca="false">SUM(B44:B45)</f>
        <v>57000</v>
      </c>
      <c r="C46" s="10" t="n">
        <f aca="false">SUM(C44:C45)</f>
        <v>52200</v>
      </c>
    </row>
    <row r="48" customFormat="false" ht="15" hidden="false" customHeight="false" outlineLevel="0" collapsed="false">
      <c r="A48" s="11" t="s">
        <v>71</v>
      </c>
    </row>
    <row r="49" customFormat="false" ht="15" hidden="false" customHeight="false" outlineLevel="0" collapsed="false">
      <c r="A49" s="0" t="s">
        <v>72</v>
      </c>
      <c r="B49" s="8" t="n">
        <v>62000</v>
      </c>
      <c r="C49" s="8" t="n">
        <v>56000</v>
      </c>
    </row>
    <row r="50" customFormat="false" ht="15" hidden="false" customHeight="false" outlineLevel="0" collapsed="false">
      <c r="A50" s="0" t="s">
        <v>73</v>
      </c>
      <c r="B50" s="8" t="n">
        <v>68000</v>
      </c>
      <c r="C50" s="8" t="n">
        <v>62000</v>
      </c>
    </row>
    <row r="51" customFormat="false" ht="15" hidden="false" customHeight="false" outlineLevel="0" collapsed="false">
      <c r="A51" s="7" t="s">
        <v>74</v>
      </c>
      <c r="B51" s="10" t="n">
        <f aca="false">SUM(B49:B50)</f>
        <v>130000</v>
      </c>
      <c r="C51" s="10" t="n">
        <f aca="false">SUM(C49:C50)</f>
        <v>118000</v>
      </c>
    </row>
    <row r="53" customFormat="false" ht="15" hidden="false" customHeight="false" outlineLevel="0" collapsed="false">
      <c r="A53" s="11" t="s">
        <v>75</v>
      </c>
    </row>
    <row r="54" customFormat="false" ht="15" hidden="false" customHeight="false" outlineLevel="0" collapsed="false">
      <c r="A54" s="0" t="s">
        <v>76</v>
      </c>
      <c r="B54" s="8" t="n">
        <v>4650</v>
      </c>
      <c r="C54" s="8" t="n">
        <v>4300</v>
      </c>
    </row>
    <row r="55" customFormat="false" ht="15" hidden="false" customHeight="false" outlineLevel="0" collapsed="false">
      <c r="A55" s="7" t="s">
        <v>77</v>
      </c>
      <c r="B55" s="10" t="n">
        <f aca="false">SUM(B54:B54)</f>
        <v>4650</v>
      </c>
      <c r="C55" s="10" t="n">
        <f aca="false">SUM(C54:C54)</f>
        <v>4300</v>
      </c>
    </row>
    <row r="57" customFormat="false" ht="15" hidden="false" customHeight="false" outlineLevel="0" collapsed="false">
      <c r="A57" s="11" t="s">
        <v>78</v>
      </c>
    </row>
    <row r="58" customFormat="false" ht="15" hidden="false" customHeight="false" outlineLevel="0" collapsed="false">
      <c r="A58" s="0" t="s">
        <v>79</v>
      </c>
      <c r="B58" s="8" t="n">
        <v>6000</v>
      </c>
      <c r="C58" s="8" t="n">
        <v>6000</v>
      </c>
    </row>
    <row r="59" customFormat="false" ht="15" hidden="false" customHeight="false" outlineLevel="0" collapsed="false">
      <c r="A59" s="7" t="s">
        <v>80</v>
      </c>
      <c r="B59" s="10" t="n">
        <f aca="false">SUM(B58:B58)</f>
        <v>6000</v>
      </c>
      <c r="C59" s="10" t="n">
        <f aca="false">SUM(C58:C58)</f>
        <v>6000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8"/>
    <col collapsed="false" customWidth="true" hidden="false" outlineLevel="0" max="4" min="3" style="0" width="20"/>
  </cols>
  <sheetData>
    <row r="1" customFormat="false" ht="16.15" hidden="false" customHeight="false" outlineLevel="0" collapsed="false">
      <c r="A1" s="1" t="s">
        <v>81</v>
      </c>
    </row>
    <row r="2" customFormat="false" ht="15" hidden="false" customHeight="false" outlineLevel="0" collapsed="false">
      <c r="A2" s="4" t="s">
        <v>18</v>
      </c>
    </row>
    <row r="3" customFormat="false" ht="15" hidden="false" customHeight="false" outlineLevel="0" collapsed="false">
      <c r="A3" s="5" t="s">
        <v>19</v>
      </c>
      <c r="B3" s="5" t="s">
        <v>20</v>
      </c>
      <c r="C3" s="6" t="s">
        <v>21</v>
      </c>
      <c r="D3" s="6" t="s">
        <v>22</v>
      </c>
    </row>
    <row r="4" customFormat="false" ht="15" hidden="false" customHeight="false" outlineLevel="0" collapsed="false">
      <c r="A4" s="7" t="s">
        <v>82</v>
      </c>
    </row>
    <row r="5" customFormat="false" ht="15" hidden="false" customHeight="false" outlineLevel="0" collapsed="false">
      <c r="A5" s="0" t="s">
        <v>83</v>
      </c>
      <c r="B5" s="0" t="n">
        <v>1</v>
      </c>
      <c r="C5" s="12" t="n">
        <f aca="false">Schedules!B6</f>
        <v>12000</v>
      </c>
      <c r="D5" s="12" t="n">
        <f aca="false">Schedules!C6</f>
        <v>12000</v>
      </c>
    </row>
    <row r="6" customFormat="false" ht="15" hidden="false" customHeight="false" outlineLevel="0" collapsed="false">
      <c r="A6" s="0" t="s">
        <v>84</v>
      </c>
      <c r="B6" s="0" t="n">
        <v>2</v>
      </c>
      <c r="C6" s="12" t="n">
        <f aca="false">Schedules!B14</f>
        <v>19150</v>
      </c>
      <c r="D6" s="12" t="n">
        <f aca="false">Schedules!C14</f>
        <v>17050</v>
      </c>
    </row>
    <row r="7" customFormat="false" ht="15" hidden="false" customHeight="false" outlineLevel="0" collapsed="false">
      <c r="A7" s="0" t="s">
        <v>85</v>
      </c>
      <c r="B7" s="0" t="n">
        <v>3</v>
      </c>
      <c r="C7" s="12" t="n">
        <f aca="false">Schedules!B20</f>
        <v>155000</v>
      </c>
      <c r="D7" s="12" t="n">
        <f aca="false">Schedules!C20</f>
        <v>141500</v>
      </c>
    </row>
    <row r="8" customFormat="false" ht="15" hidden="false" customHeight="false" outlineLevel="0" collapsed="false">
      <c r="A8" s="0" t="s">
        <v>86</v>
      </c>
      <c r="B8" s="0" t="n">
        <v>4</v>
      </c>
      <c r="C8" s="12" t="n">
        <f aca="false">Schedules!B25</f>
        <v>22000</v>
      </c>
      <c r="D8" s="12" t="n">
        <f aca="false">Schedules!C25</f>
        <v>19500</v>
      </c>
    </row>
    <row r="9" customFormat="false" ht="15" hidden="false" customHeight="false" outlineLevel="0" collapsed="false">
      <c r="A9" s="0" t="s">
        <v>87</v>
      </c>
      <c r="B9" s="0" t="n">
        <v>5</v>
      </c>
      <c r="C9" s="12" t="n">
        <f aca="false">Schedules!B32</f>
        <v>7000</v>
      </c>
      <c r="D9" s="12" t="n">
        <f aca="false">Schedules!C32</f>
        <v>6250</v>
      </c>
    </row>
    <row r="10" customFormat="false" ht="15" hidden="false" customHeight="false" outlineLevel="0" collapsed="false">
      <c r="A10" s="7" t="s">
        <v>88</v>
      </c>
      <c r="C10" s="10" t="n">
        <f aca="false">SUM(C5:C9)</f>
        <v>215150</v>
      </c>
      <c r="D10" s="10" t="n">
        <f aca="false">SUM(D5:D9)</f>
        <v>196300</v>
      </c>
    </row>
    <row r="12" customFormat="false" ht="15" hidden="false" customHeight="false" outlineLevel="0" collapsed="false">
      <c r="A12" s="7" t="s">
        <v>89</v>
      </c>
    </row>
    <row r="13" customFormat="false" ht="15" hidden="false" customHeight="false" outlineLevel="0" collapsed="false">
      <c r="A13" s="0" t="s">
        <v>90</v>
      </c>
      <c r="B13" s="0" t="n">
        <v>6</v>
      </c>
      <c r="C13" s="12" t="n">
        <f aca="false">Schedules!B37</f>
        <v>11000</v>
      </c>
      <c r="D13" s="12" t="n">
        <f aca="false">Schedules!C37</f>
        <v>10000</v>
      </c>
    </row>
    <row r="14" customFormat="false" ht="15" hidden="false" customHeight="false" outlineLevel="0" collapsed="false">
      <c r="A14" s="0" t="s">
        <v>91</v>
      </c>
      <c r="B14" s="0" t="n">
        <v>7</v>
      </c>
      <c r="C14" s="12" t="n">
        <f aca="false">Schedules!B41</f>
        <v>6500</v>
      </c>
      <c r="D14" s="12" t="n">
        <f aca="false">Schedules!C41</f>
        <v>5800</v>
      </c>
    </row>
    <row r="15" customFormat="false" ht="15" hidden="false" customHeight="false" outlineLevel="0" collapsed="false">
      <c r="A15" s="0" t="s">
        <v>92</v>
      </c>
      <c r="B15" s="0" t="n">
        <v>8</v>
      </c>
      <c r="C15" s="12" t="n">
        <f aca="false">Schedules!B46</f>
        <v>57000</v>
      </c>
      <c r="D15" s="12" t="n">
        <f aca="false">Schedules!C46</f>
        <v>52200</v>
      </c>
    </row>
    <row r="16" customFormat="false" ht="15" hidden="false" customHeight="false" outlineLevel="0" collapsed="false">
      <c r="A16" s="0" t="s">
        <v>93</v>
      </c>
      <c r="B16" s="0" t="n">
        <v>9</v>
      </c>
      <c r="C16" s="12" t="n">
        <f aca="false">Schedules!B51</f>
        <v>130000</v>
      </c>
      <c r="D16" s="12" t="n">
        <f aca="false">Schedules!C51</f>
        <v>118000</v>
      </c>
    </row>
    <row r="17" customFormat="false" ht="15" hidden="false" customHeight="false" outlineLevel="0" collapsed="false">
      <c r="A17" s="0" t="s">
        <v>94</v>
      </c>
      <c r="B17" s="0" t="n">
        <v>10</v>
      </c>
      <c r="C17" s="12" t="n">
        <f aca="false">Schedules!B55</f>
        <v>4650</v>
      </c>
      <c r="D17" s="12" t="n">
        <f aca="false">Schedules!C55</f>
        <v>4300</v>
      </c>
    </row>
    <row r="18" customFormat="false" ht="15" hidden="false" customHeight="false" outlineLevel="0" collapsed="false">
      <c r="A18" s="0" t="s">
        <v>79</v>
      </c>
      <c r="B18" s="0" t="n">
        <v>11</v>
      </c>
      <c r="C18" s="12" t="n">
        <f aca="false">Schedules!B59</f>
        <v>6000</v>
      </c>
      <c r="D18" s="12" t="n">
        <f aca="false">Schedules!C59</f>
        <v>6000</v>
      </c>
    </row>
    <row r="19" customFormat="false" ht="15" hidden="false" customHeight="false" outlineLevel="0" collapsed="false">
      <c r="A19" s="7" t="s">
        <v>95</v>
      </c>
      <c r="C19" s="10" t="n">
        <f aca="false">SUM(C13:C18)</f>
        <v>215150</v>
      </c>
      <c r="D19" s="10" t="n">
        <f aca="false">SUM(D13:D18)</f>
        <v>196300</v>
      </c>
    </row>
    <row r="21" customFormat="false" ht="15" hidden="false" customHeight="false" outlineLevel="0" collapsed="false">
      <c r="A21" s="4" t="s">
        <v>96</v>
      </c>
      <c r="C21" s="10" t="n">
        <f aca="false">C19-C10</f>
        <v>0</v>
      </c>
      <c r="D21" s="10" t="n">
        <f aca="false">D19-D10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00"/>
  </cols>
  <sheetData>
    <row r="1" customFormat="false" ht="16.15" hidden="false" customHeight="false" outlineLevel="0" collapsed="false">
      <c r="A1" s="1" t="s">
        <v>97</v>
      </c>
    </row>
    <row r="3" customFormat="false" ht="45" hidden="false" customHeight="true" outlineLevel="0" collapsed="false">
      <c r="A3" s="0" t="s">
        <v>98</v>
      </c>
      <c r="B3" s="3" t="s">
        <v>99</v>
      </c>
    </row>
    <row r="5" customFormat="false" ht="45" hidden="false" customHeight="true" outlineLevel="0" collapsed="false">
      <c r="A5" s="0" t="s">
        <v>100</v>
      </c>
      <c r="B5" s="3" t="s">
        <v>101</v>
      </c>
    </row>
    <row r="7" customFormat="false" ht="45" hidden="false" customHeight="true" outlineLevel="0" collapsed="false">
      <c r="A7" s="0" t="s">
        <v>102</v>
      </c>
      <c r="B7" s="3" t="s">
        <v>103</v>
      </c>
    </row>
    <row r="9" customFormat="false" ht="45" hidden="false" customHeight="true" outlineLevel="0" collapsed="false">
      <c r="A9" s="0" t="s">
        <v>104</v>
      </c>
      <c r="B9" s="3" t="s">
        <v>105</v>
      </c>
    </row>
    <row r="11" customFormat="false" ht="45" hidden="false" customHeight="true" outlineLevel="0" collapsed="false">
      <c r="A11" s="0" t="s">
        <v>106</v>
      </c>
      <c r="B11" s="3"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20"/>
  </cols>
  <sheetData>
    <row r="1" customFormat="false" ht="16.15" hidden="false" customHeight="false" outlineLevel="0" collapsed="false">
      <c r="A1" s="1" t="s">
        <v>108</v>
      </c>
    </row>
    <row r="2" customFormat="false" ht="15" hidden="false" customHeight="false" outlineLevel="0" collapsed="false">
      <c r="A2" s="13" t="s">
        <v>109</v>
      </c>
    </row>
    <row r="3" customFormat="false" ht="15" hidden="false" customHeight="false" outlineLevel="0" collapsed="false">
      <c r="A3" s="5" t="s">
        <v>19</v>
      </c>
      <c r="B3" s="6" t="s">
        <v>21</v>
      </c>
    </row>
    <row r="4" customFormat="false" ht="15" hidden="false" customHeight="false" outlineLevel="0" collapsed="false">
      <c r="A4" s="7" t="s">
        <v>110</v>
      </c>
    </row>
    <row r="5" customFormat="false" ht="15" hidden="false" customHeight="false" outlineLevel="0" collapsed="false">
      <c r="A5" s="0" t="s">
        <v>111</v>
      </c>
      <c r="B5" s="12" t="n">
        <f aca="false">Schedules!B20-Schedules!C20</f>
        <v>13500</v>
      </c>
    </row>
    <row r="6" customFormat="false" ht="15" hidden="false" customHeight="false" outlineLevel="0" collapsed="false">
      <c r="A6" s="0" t="s">
        <v>112</v>
      </c>
      <c r="B6" s="12" t="n">
        <f aca="false">Schedules!B32-Schedules!C32</f>
        <v>750</v>
      </c>
    </row>
    <row r="7" customFormat="false" ht="15" hidden="false" customHeight="false" outlineLevel="0" collapsed="false">
      <c r="A7" s="0" t="s">
        <v>113</v>
      </c>
      <c r="B7" s="12" t="n">
        <f aca="false">Schedules!B14-Schedules!C14</f>
        <v>2100</v>
      </c>
    </row>
    <row r="8" customFormat="false" ht="15" hidden="false" customHeight="false" outlineLevel="0" collapsed="false">
      <c r="A8" s="0" t="s">
        <v>114</v>
      </c>
      <c r="B8" s="12" t="n">
        <f aca="false">-(Schedules!B46-Schedules!C46)</f>
        <v>-4800</v>
      </c>
    </row>
    <row r="9" customFormat="false" ht="15" hidden="false" customHeight="false" outlineLevel="0" collapsed="false">
      <c r="A9" s="0" t="s">
        <v>115</v>
      </c>
      <c r="B9" s="12" t="n">
        <f aca="false">-(Schedules!B51-Schedules!C51)</f>
        <v>-12000</v>
      </c>
    </row>
    <row r="10" customFormat="false" ht="15" hidden="false" customHeight="false" outlineLevel="0" collapsed="false">
      <c r="A10" s="0" t="s">
        <v>116</v>
      </c>
      <c r="B10" s="8" t="n">
        <f aca="false">-(Schedules!B59-Schedules!C59)</f>
        <v>-0</v>
      </c>
    </row>
    <row r="11" customFormat="false" ht="15" hidden="false" customHeight="false" outlineLevel="0" collapsed="false">
      <c r="A11" s="7" t="s">
        <v>117</v>
      </c>
      <c r="B11" s="10" t="n">
        <f aca="false">SUM(B5:B10)</f>
        <v>-450</v>
      </c>
    </row>
    <row r="13" customFormat="false" ht="15" hidden="false" customHeight="false" outlineLevel="0" collapsed="false">
      <c r="A13" s="7" t="s">
        <v>118</v>
      </c>
    </row>
    <row r="14" customFormat="false" ht="15" hidden="false" customHeight="false" outlineLevel="0" collapsed="false">
      <c r="A14" s="0" t="s">
        <v>119</v>
      </c>
      <c r="B14" s="12" t="n">
        <f aca="false">-(Schedules!B55-Schedules!C55)</f>
        <v>-350</v>
      </c>
    </row>
    <row r="15" customFormat="false" ht="15" hidden="false" customHeight="false" outlineLevel="0" collapsed="false">
      <c r="A15" s="7" t="s">
        <v>120</v>
      </c>
      <c r="B15" s="10" t="n">
        <f aca="false">B14</f>
        <v>-350</v>
      </c>
    </row>
    <row r="17" customFormat="false" ht="15" hidden="false" customHeight="false" outlineLevel="0" collapsed="false">
      <c r="A17" s="7" t="s">
        <v>121</v>
      </c>
    </row>
    <row r="18" customFormat="false" ht="15" hidden="false" customHeight="false" outlineLevel="0" collapsed="false">
      <c r="A18" s="0" t="s">
        <v>122</v>
      </c>
      <c r="B18" s="12" t="n">
        <f aca="false">Schedules!B6-Schedules!C6</f>
        <v>0</v>
      </c>
    </row>
    <row r="19" customFormat="false" ht="15" hidden="false" customHeight="false" outlineLevel="0" collapsed="false">
      <c r="A19" s="0" t="s">
        <v>123</v>
      </c>
      <c r="B19" s="12" t="n">
        <f aca="false">Schedules!B25-Schedules!C25</f>
        <v>2500</v>
      </c>
    </row>
    <row r="20" customFormat="false" ht="15" hidden="false" customHeight="false" outlineLevel="0" collapsed="false">
      <c r="A20" s="7" t="s">
        <v>124</v>
      </c>
      <c r="B20" s="10" t="n">
        <f aca="false">SUM(B18:B19)</f>
        <v>2500</v>
      </c>
    </row>
    <row r="22" customFormat="false" ht="15" hidden="false" customHeight="false" outlineLevel="0" collapsed="false">
      <c r="A22" s="7" t="s">
        <v>125</v>
      </c>
      <c r="B22" s="10" t="n">
        <f aca="false">B11+B15+B20</f>
        <v>1700</v>
      </c>
    </row>
    <row r="23" customFormat="false" ht="15" hidden="false" customHeight="false" outlineLevel="0" collapsed="false">
      <c r="A23" s="0" t="s">
        <v>126</v>
      </c>
      <c r="B23" s="12" t="n">
        <f aca="false">Schedules!C37+Schedules!C41</f>
        <v>15800</v>
      </c>
    </row>
    <row r="24" customFormat="false" ht="15" hidden="false" customHeight="false" outlineLevel="0" collapsed="false">
      <c r="A24" s="7" t="s">
        <v>127</v>
      </c>
      <c r="B24" s="10" t="n">
        <f aca="false">Schedules!B37+Schedules!B41</f>
        <v>17500</v>
      </c>
    </row>
    <row r="25" customFormat="false" ht="15" hidden="false" customHeight="false" outlineLevel="0" collapsed="false">
      <c r="A25" s="4" t="s">
        <v>128</v>
      </c>
      <c r="B25" s="10" t="n">
        <f aca="false">B23+B22-B24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2026-08-16T12:39:01Z</dcterms:created>
  <dc:creator>openpyxl</dc:creator>
  <dc:description/>
  <dc:language>en-US</dc:language>
  <cp:lastModifiedBy/>
  <dcterms:modified xsi:type="dcterms:W3CDTF">2026-08-16T12:39:01Z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